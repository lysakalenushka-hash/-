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и_случай1" sheetId="1" state="visible" r:id="rId1"/>
    <sheet name="Таблицы_все_случаи" sheetId="2" state="visible" r:id="rId2"/>
    <sheet name="Производительность_выводы" sheetId="3" state="visible" r:id="rId3"/>
  </sheets>
  <definedNames>
    <definedName name="_xlnm.Print_Titles" localSheetId="0">'Графики_случай1'!$1:$2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2E75B6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333333"/>
      <sz val="10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РИВ, случай 1: Ci = f(τ)</a:t>
            </a:r>
          </a:p>
        </rich>
      </tx>
    </title>
    <plotArea>
      <scatterChart>
        <scatterStyle val="smoothMarker"/>
        <ser>
          <idx val="0"/>
          <order val="0"/>
          <tx>
            <v>CA</v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square"/>
            <size val="10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'Графики_случай1'!$A$6:$A$16</f>
            </numRef>
          </xVal>
          <yVal>
            <numRef>
              <f>'Графики_случай1'!$C$6:$C$16</f>
            </numRef>
          </yVal>
          <smooth val="1"/>
        </ser>
        <ser>
          <idx val="1"/>
          <order val="1"/>
          <tx>
            <v>CR (целевой)</v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12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'Графики_случай1'!$A$6:$A$16</f>
            </numRef>
          </xVal>
          <yVal>
            <numRef>
              <f>'Графики_случай1'!$E$6:$E$16</f>
            </numRef>
          </yVal>
          <smooth val="1"/>
        </ser>
        <ser>
          <idx val="2"/>
          <order val="2"/>
          <tx>
            <v>CS (побочный)</v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x"/>
            <size val="10"/>
            <spPr>
              <a:noFill/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'Графики_случай1'!$A$6:$A$16</f>
            </numRef>
          </xVal>
          <yVal>
            <numRef>
              <f>'Графики_случай1'!$G$6:$G$16</f>
            </numRef>
          </yVal>
          <smooth val="1"/>
        </ser>
        <axId val="1"/>
        <axId val="2"/>
      </scatterChart>
      <valAx>
        <axId val="1"/>
        <scaling>
          <orientation val="minMax"/>
          <max val="2"/>
          <min val="0"/>
        </scaling>
        <axPos val="l"/>
        <majorGridlines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100" b="0" kern="1200" baseline="0"/>
                </a:pPr>
                <a:r>
                  <a:rPr lang="ru-RU"/>
                  <a:t>τ, мин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majorTickMark val="none"/>
        <minorTickMark val="none"/>
        <crossAx val="20"/>
        <majorUnit val="0.25"/>
      </valAx>
      <valAx>
        <axId val="2"/>
        <scaling>
          <orientation val="minMax"/>
          <max val="32"/>
          <min val="0"/>
        </scaling>
        <axPos val="l"/>
        <majorGridlines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100" b="0" kern="1200" baseline="0"/>
                </a:pPr>
                <a:r>
                  <a:rPr lang="ru-RU"/>
                  <a:t>Ci, моль/л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majorTickMark val="none"/>
        <minorTickMark val="none"/>
        <crossAx val="10"/>
        <majorUnit val="5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РИС-н, случай 1: Ci = f(τ)</a:t>
            </a:r>
          </a:p>
        </rich>
      </tx>
    </title>
    <plotArea>
      <scatterChart>
        <scatterStyle val="smoothMarker"/>
        <ser>
          <idx val="0"/>
          <order val="0"/>
          <tx>
            <v>CA</v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square"/>
            <size val="10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'Графики_случай1'!$A$22:$A$32</f>
            </numRef>
          </xVal>
          <yVal>
            <numRef>
              <f>'Графики_случай1'!$C$22:$C$32</f>
            </numRef>
          </yVal>
          <smooth val="1"/>
        </ser>
        <ser>
          <idx val="1"/>
          <order val="1"/>
          <tx>
            <v>CR (целевой)</v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12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'Графики_случай1'!$A$22:$A$32</f>
            </numRef>
          </xVal>
          <yVal>
            <numRef>
              <f>'Графики_случай1'!$E$22:$E$32</f>
            </numRef>
          </yVal>
          <smooth val="1"/>
        </ser>
        <ser>
          <idx val="2"/>
          <order val="2"/>
          <tx>
            <v>CS (побочный)</v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x"/>
            <size val="10"/>
            <spPr>
              <a:noFill/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'Графики_случай1'!$A$22:$A$32</f>
            </numRef>
          </xVal>
          <yVal>
            <numRef>
              <f>'Графики_случай1'!$G$22:$G$32</f>
            </numRef>
          </yVal>
          <smooth val="1"/>
        </ser>
        <axId val="1"/>
        <axId val="2"/>
      </scatterChart>
      <valAx>
        <axId val="1"/>
        <scaling>
          <orientation val="minMax"/>
          <max val="2"/>
          <min val="0"/>
        </scaling>
        <axPos val="l"/>
        <majorGridlines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100" b="0" kern="1200" baseline="0"/>
                </a:pPr>
                <a:r>
                  <a:rPr lang="ru-RU"/>
                  <a:t>τ, мин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majorTickMark val="none"/>
        <minorTickMark val="none"/>
        <crossAx val="20"/>
        <majorUnit val="0.25"/>
      </valAx>
      <valAx>
        <axId val="2"/>
        <scaling>
          <orientation val="minMax"/>
          <max val="32"/>
          <min val="0"/>
        </scaling>
        <axPos val="l"/>
        <majorGridlines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100" b="0" kern="1200" baseline="0"/>
                </a:pPr>
                <a:r>
                  <a:rPr lang="ru-RU"/>
                  <a:t>Ci, моль/л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majorTickMark val="none"/>
        <minorTickMark val="none"/>
        <crossAx val="10"/>
        <majorUnit val="5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Вариант 2. Графики Ci(τ) — оформление как в Kniga1.xlsx (квадраты и звёздочки)</t>
        </is>
      </c>
    </row>
    <row r="2">
      <c r="A2" s="2" t="inlineStr">
        <is>
          <t>Маркеры: CA — квадрат (square), CR — звезда (star), CS — звёздочка-крест (x). Линии сглаженные (smoothMarker), как в образце.</t>
        </is>
      </c>
    </row>
    <row r="4" ht="20" customHeight="1">
      <c r="A4" s="3" t="inlineStr">
        <is>
          <t>РИВ, случай 1: n1=2, n2=1; k1=0,6 л/(моль·мин); k2=0,4 мин⁻¹</t>
        </is>
      </c>
    </row>
    <row r="5" ht="32" customHeight="1">
      <c r="A5" s="4" t="inlineStr">
        <is>
          <t>τ, мин</t>
        </is>
      </c>
      <c r="B5" s="4" t="inlineStr">
        <is>
          <t>X</t>
        </is>
      </c>
      <c r="C5" s="4" t="inlineStr">
        <is>
          <t>CA, моль/л</t>
        </is>
      </c>
      <c r="D5" s="4" t="inlineStr">
        <is>
          <t>Y</t>
        </is>
      </c>
      <c r="E5" s="4" t="inlineStr">
        <is>
          <t>CR, моль/л</t>
        </is>
      </c>
      <c r="F5" s="4" t="inlineStr">
        <is>
          <t>Z</t>
        </is>
      </c>
      <c r="G5" s="4" t="inlineStr">
        <is>
          <t>CS, моль/л</t>
        </is>
      </c>
      <c r="H5" s="4" t="inlineStr">
        <is>
          <t>S (дифф.)</t>
        </is>
      </c>
      <c r="I5" s="4" t="inlineStr">
        <is>
          <t>SR = Y/X</t>
        </is>
      </c>
      <c r="J5" s="4" t="inlineStr">
        <is>
          <t>ΠR, кмоль/ч</t>
        </is>
      </c>
    </row>
    <row r="6">
      <c r="A6" s="5" t="n">
        <v>0</v>
      </c>
      <c r="B6" s="6" t="n">
        <v>0</v>
      </c>
      <c r="C6" s="5" t="n">
        <v>30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1</v>
      </c>
      <c r="I6" s="6" t="n">
        <v>1</v>
      </c>
      <c r="J6" s="5" t="n">
        <v>0</v>
      </c>
    </row>
    <row r="7">
      <c r="A7" s="7" t="n">
        <v>0.2</v>
      </c>
      <c r="B7" s="8" t="n">
        <v>0.1071</v>
      </c>
      <c r="C7" s="7" t="n">
        <v>26.787</v>
      </c>
      <c r="D7" s="8" t="n">
        <v>0.1028</v>
      </c>
      <c r="E7" s="7" t="n">
        <v>3.084</v>
      </c>
      <c r="F7" s="8" t="n">
        <v>0.0043</v>
      </c>
      <c r="G7" s="7" t="n">
        <v>0.129</v>
      </c>
      <c r="H7" s="8" t="n">
        <v>0.9596</v>
      </c>
      <c r="I7" s="8" t="n">
        <v>0.9598506069094305</v>
      </c>
      <c r="J7" s="7" t="n">
        <v>9.252000000000001</v>
      </c>
    </row>
    <row r="8">
      <c r="A8" s="5" t="n">
        <v>0.4</v>
      </c>
      <c r="B8" s="6" t="n">
        <v>0.1935</v>
      </c>
      <c r="C8" s="5" t="n">
        <v>24.195</v>
      </c>
      <c r="D8" s="6" t="n">
        <v>0.1778</v>
      </c>
      <c r="E8" s="5" t="n">
        <v>5.334000000000001</v>
      </c>
      <c r="F8" s="6" t="n">
        <v>0.0157</v>
      </c>
      <c r="G8" s="5" t="n">
        <v>0.471</v>
      </c>
      <c r="H8" s="6" t="n">
        <v>0.9188</v>
      </c>
      <c r="I8" s="6" t="n">
        <v>0.9188630490956072</v>
      </c>
      <c r="J8" s="5" t="n">
        <v>16.002</v>
      </c>
    </row>
    <row r="9">
      <c r="A9" s="7" t="n">
        <v>0.6</v>
      </c>
      <c r="B9" s="8" t="n">
        <v>0.2647</v>
      </c>
      <c r="C9" s="7" t="n">
        <v>22.059</v>
      </c>
      <c r="D9" s="8" t="n">
        <v>0.2325</v>
      </c>
      <c r="E9" s="7" t="n">
        <v>6.975000000000001</v>
      </c>
      <c r="F9" s="8" t="n">
        <v>0.0322</v>
      </c>
      <c r="G9" s="7" t="n">
        <v>0.966</v>
      </c>
      <c r="H9" s="8" t="n">
        <v>0.8782</v>
      </c>
      <c r="I9" s="8" t="n">
        <v>0.8783528522856064</v>
      </c>
      <c r="J9" s="7" t="n">
        <v>20.925</v>
      </c>
    </row>
    <row r="10">
      <c r="A10" s="5" t="n">
        <v>0.8</v>
      </c>
      <c r="B10" s="6" t="n">
        <v>0.3243</v>
      </c>
      <c r="C10" s="5" t="n">
        <v>20.271</v>
      </c>
      <c r="D10" s="6" t="n">
        <v>0.2718</v>
      </c>
      <c r="E10" s="5" t="n">
        <v>8.154</v>
      </c>
      <c r="F10" s="6" t="n">
        <v>0.0525</v>
      </c>
      <c r="G10" s="5" t="n">
        <v>1.575</v>
      </c>
      <c r="H10" s="6" t="n">
        <v>0.8381</v>
      </c>
      <c r="I10" s="6" t="n">
        <v>0.8381128584643849</v>
      </c>
      <c r="J10" s="5" t="n">
        <v>24.462</v>
      </c>
    </row>
    <row r="11">
      <c r="A11" s="7" t="n">
        <v>1</v>
      </c>
      <c r="B11" s="8" t="n">
        <v>0.375</v>
      </c>
      <c r="C11" s="7" t="n">
        <v>18.75</v>
      </c>
      <c r="D11" s="8" t="n">
        <v>0.2996</v>
      </c>
      <c r="E11" s="7" t="n">
        <v>8.988</v>
      </c>
      <c r="F11" s="8" t="n">
        <v>0.07539999999999999</v>
      </c>
      <c r="G11" s="7" t="n">
        <v>2.262</v>
      </c>
      <c r="H11" s="8" t="n">
        <v>0.7989000000000001</v>
      </c>
      <c r="I11" s="8" t="n">
        <v>0.7989333333333333</v>
      </c>
      <c r="J11" s="7" t="n">
        <v>26.964</v>
      </c>
    </row>
    <row r="12">
      <c r="A12" s="5" t="n">
        <v>1.2</v>
      </c>
      <c r="B12" s="6" t="n">
        <v>0.4186</v>
      </c>
      <c r="C12" s="5" t="n">
        <v>17.442</v>
      </c>
      <c r="D12" s="6" t="n">
        <v>0.3184</v>
      </c>
      <c r="E12" s="5" t="n">
        <v>9.552</v>
      </c>
      <c r="F12" s="6" t="n">
        <v>0.1002</v>
      </c>
      <c r="G12" s="5" t="n">
        <v>3.006</v>
      </c>
      <c r="H12" s="6" t="n">
        <v>0.7606000000000001</v>
      </c>
      <c r="I12" s="6" t="n">
        <v>0.7606306736741519</v>
      </c>
      <c r="J12" s="5" t="n">
        <v>28.656</v>
      </c>
    </row>
    <row r="13">
      <c r="A13" s="7" t="n">
        <v>1.4</v>
      </c>
      <c r="B13" s="8" t="n">
        <v>0.4565</v>
      </c>
      <c r="C13" s="7" t="n">
        <v>16.305</v>
      </c>
      <c r="D13" s="8" t="n">
        <v>0.3303</v>
      </c>
      <c r="E13" s="7" t="n">
        <v>9.908999999999999</v>
      </c>
      <c r="F13" s="8" t="n">
        <v>0.1262</v>
      </c>
      <c r="G13" s="7" t="n">
        <v>3.786</v>
      </c>
      <c r="H13" s="8" t="n">
        <v>0.7236</v>
      </c>
      <c r="I13" s="8" t="n">
        <v>0.7235487404162102</v>
      </c>
      <c r="J13" s="7" t="n">
        <v>29.727</v>
      </c>
    </row>
    <row r="14">
      <c r="A14" s="5" t="n">
        <v>1.6</v>
      </c>
      <c r="B14" s="6" t="n">
        <v>0.4898</v>
      </c>
      <c r="C14" s="5" t="n">
        <v>15.306</v>
      </c>
      <c r="D14" s="6" t="n">
        <v>0.3369</v>
      </c>
      <c r="E14" s="5" t="n">
        <v>10.107</v>
      </c>
      <c r="F14" s="6" t="n">
        <v>0.1529</v>
      </c>
      <c r="G14" s="5" t="n">
        <v>4.587000000000001</v>
      </c>
      <c r="H14" s="6" t="n">
        <v>0.6878</v>
      </c>
      <c r="I14" s="6" t="n">
        <v>0.6878317680685994</v>
      </c>
      <c r="J14" s="5" t="n">
        <v>30.321</v>
      </c>
    </row>
    <row r="15">
      <c r="A15" s="7" t="n">
        <v>1.8</v>
      </c>
      <c r="B15" s="8" t="n">
        <v>0.5192</v>
      </c>
      <c r="C15" s="7" t="n">
        <v>14.424</v>
      </c>
      <c r="D15" s="8" t="n">
        <v>0.3393</v>
      </c>
      <c r="E15" s="7" t="n">
        <v>10.179</v>
      </c>
      <c r="F15" s="8" t="n">
        <v>0.18</v>
      </c>
      <c r="G15" s="7" t="n">
        <v>5.399999999999999</v>
      </c>
      <c r="H15" s="8" t="n">
        <v>0.6534</v>
      </c>
      <c r="I15" s="8" t="n">
        <v>0.6535053929121726</v>
      </c>
      <c r="J15" s="7" t="n">
        <v>30.537</v>
      </c>
    </row>
    <row r="16">
      <c r="A16" s="5" t="n">
        <v>2</v>
      </c>
      <c r="B16" s="6" t="n">
        <v>0.5455</v>
      </c>
      <c r="C16" s="5" t="n">
        <v>13.635</v>
      </c>
      <c r="D16" s="6" t="n">
        <v>0.3384</v>
      </c>
      <c r="E16" s="5" t="n">
        <v>10.152</v>
      </c>
      <c r="F16" s="6" t="n">
        <v>0.2071</v>
      </c>
      <c r="G16" s="5" t="n">
        <v>6.213</v>
      </c>
      <c r="H16" s="6" t="n">
        <v>0.6203</v>
      </c>
      <c r="I16" s="6" t="n">
        <v>0.6203483043079743</v>
      </c>
      <c r="J16" s="5" t="n">
        <v>30.456</v>
      </c>
    </row>
    <row r="20" ht="20" customHeight="1">
      <c r="A20" s="3" t="inlineStr">
        <is>
          <t>РИС-н, случай 1: n1=2, n2=1; k1=0,6 л/(моль·мин); k2=0,4 мин⁻¹ (профиль по τ)</t>
        </is>
      </c>
    </row>
    <row r="21" ht="32" customHeight="1">
      <c r="A21" s="4" t="inlineStr">
        <is>
          <t>τ, мин</t>
        </is>
      </c>
      <c r="B21" s="4" t="inlineStr">
        <is>
          <t>X</t>
        </is>
      </c>
      <c r="C21" s="4" t="inlineStr">
        <is>
          <t>CA, моль/л</t>
        </is>
      </c>
      <c r="D21" s="4" t="inlineStr">
        <is>
          <t>Y</t>
        </is>
      </c>
      <c r="E21" s="4" t="inlineStr">
        <is>
          <t>CR, моль/л</t>
        </is>
      </c>
      <c r="F21" s="4" t="inlineStr">
        <is>
          <t>Z</t>
        </is>
      </c>
      <c r="G21" s="4" t="inlineStr">
        <is>
          <t>CS, моль/л</t>
        </is>
      </c>
      <c r="H21" s="4" t="inlineStr">
        <is>
          <t>S (дифф.)</t>
        </is>
      </c>
      <c r="I21" s="4" t="inlineStr">
        <is>
          <t>SR = Y/X</t>
        </is>
      </c>
      <c r="J21" s="4" t="inlineStr">
        <is>
          <t>ΠR, кмоль/ч</t>
        </is>
      </c>
    </row>
    <row r="22">
      <c r="A22" s="5" t="n">
        <v>0</v>
      </c>
      <c r="B22" s="6" t="n">
        <v>0</v>
      </c>
      <c r="C22" s="5" t="n">
        <v>30</v>
      </c>
      <c r="D22" s="6" t="n">
        <v>0</v>
      </c>
      <c r="E22" s="5" t="n">
        <v>0</v>
      </c>
      <c r="F22" s="6" t="n">
        <v>0</v>
      </c>
      <c r="G22" s="5" t="n">
        <v>0</v>
      </c>
      <c r="H22" s="6" t="n">
        <v>1</v>
      </c>
      <c r="I22" s="6" t="n">
        <v>1</v>
      </c>
      <c r="J22" s="5" t="n">
        <v>0</v>
      </c>
    </row>
    <row r="23">
      <c r="A23" s="7" t="n">
        <v>0.2</v>
      </c>
      <c r="B23" s="8" t="n">
        <v>0.09769789141815066</v>
      </c>
      <c r="C23" s="7" t="n">
        <v>27.06906325745548</v>
      </c>
      <c r="D23" s="8" t="n">
        <v>0.09046101057236126</v>
      </c>
      <c r="E23" s="7" t="n">
        <v>2.713830317170838</v>
      </c>
      <c r="F23" s="8" t="n">
        <v>0.007236880845788902</v>
      </c>
      <c r="G23" s="7" t="n">
        <v>0.2171064253736671</v>
      </c>
      <c r="H23" s="8" t="n">
        <v>0.9259259259259213</v>
      </c>
      <c r="I23" s="8" t="n">
        <v>0.9259259259259213</v>
      </c>
      <c r="J23" s="7" t="n">
        <v>8.141490951512514</v>
      </c>
    </row>
    <row r="24">
      <c r="A24" s="5" t="n">
        <v>0.4</v>
      </c>
      <c r="B24" s="6" t="n">
        <v>0.1666666666666669</v>
      </c>
      <c r="C24" s="5" t="n">
        <v>24.99999999999999</v>
      </c>
      <c r="D24" s="6" t="n">
        <v>0.1436781609195402</v>
      </c>
      <c r="E24" s="5" t="n">
        <v>4.310344827586205</v>
      </c>
      <c r="F24" s="6" t="n">
        <v>0.02298850574712643</v>
      </c>
      <c r="G24" s="5" t="n">
        <v>0.6896551724137929</v>
      </c>
      <c r="H24" s="6" t="n">
        <v>0.86206896551724</v>
      </c>
      <c r="I24" s="6" t="n">
        <v>0.86206896551724</v>
      </c>
      <c r="J24" s="5" t="n">
        <v>12.93103448275862</v>
      </c>
    </row>
    <row r="25">
      <c r="A25" s="7" t="n">
        <v>0.6</v>
      </c>
      <c r="B25" s="8" t="n">
        <v>0.2193750900259294</v>
      </c>
      <c r="C25" s="7" t="n">
        <v>23.41874729922212</v>
      </c>
      <c r="D25" s="8" t="n">
        <v>0.176915395182201</v>
      </c>
      <c r="E25" s="7" t="n">
        <v>5.307461855466031</v>
      </c>
      <c r="F25" s="8" t="n">
        <v>0.04245969484372825</v>
      </c>
      <c r="G25" s="7" t="n">
        <v>1.273790845311848</v>
      </c>
      <c r="H25" s="8" t="n">
        <v>0.8064516129032255</v>
      </c>
      <c r="I25" s="8" t="n">
        <v>0.8064516129032255</v>
      </c>
      <c r="J25" s="7" t="n">
        <v>15.92238556639809</v>
      </c>
    </row>
    <row r="26">
      <c r="A26" s="5" t="n">
        <v>0.8</v>
      </c>
      <c r="B26" s="6" t="n">
        <v>0.261665886392181</v>
      </c>
      <c r="C26" s="5" t="n">
        <v>22.15002340823457</v>
      </c>
      <c r="D26" s="6" t="n">
        <v>0.1982317321152886</v>
      </c>
      <c r="E26" s="5" t="n">
        <v>5.946951963458658</v>
      </c>
      <c r="F26" s="6" t="n">
        <v>0.06343415427689236</v>
      </c>
      <c r="G26" s="5" t="n">
        <v>1.903024628306771</v>
      </c>
      <c r="H26" s="6" t="n">
        <v>0.7575757575757573</v>
      </c>
      <c r="I26" s="6" t="n">
        <v>0.7575757575757573</v>
      </c>
      <c r="J26" s="5" t="n">
        <v>17.84085589037597</v>
      </c>
    </row>
    <row r="27">
      <c r="A27" s="7" t="n">
        <v>1</v>
      </c>
      <c r="B27" s="8" t="n">
        <v>0.2967425904511853</v>
      </c>
      <c r="C27" s="7" t="n">
        <v>21.09772228646444</v>
      </c>
      <c r="D27" s="8" t="n">
        <v>0.2119589931794183</v>
      </c>
      <c r="E27" s="7" t="n">
        <v>6.358769795382548</v>
      </c>
      <c r="F27" s="8" t="n">
        <v>0.08478359727176732</v>
      </c>
      <c r="G27" s="7" t="n">
        <v>2.543507918153019</v>
      </c>
      <c r="H27" s="8" t="n">
        <v>0.7142857142857149</v>
      </c>
      <c r="I27" s="8" t="n">
        <v>0.7142857142857149</v>
      </c>
      <c r="J27" s="7" t="n">
        <v>19.07630938614765</v>
      </c>
    </row>
    <row r="28">
      <c r="A28" s="5" t="n">
        <v>1.2</v>
      </c>
      <c r="B28" s="6" t="n">
        <v>0.3265475275283187</v>
      </c>
      <c r="C28" s="5" t="n">
        <v>20.20357417415044</v>
      </c>
      <c r="D28" s="6" t="n">
        <v>0.2206402213029181</v>
      </c>
      <c r="E28" s="5" t="n">
        <v>6.619206639087543</v>
      </c>
      <c r="F28" s="6" t="n">
        <v>0.1059073062254007</v>
      </c>
      <c r="G28" s="5" t="n">
        <v>3.177219186762021</v>
      </c>
      <c r="H28" s="6" t="n">
        <v>0.6756756756756758</v>
      </c>
      <c r="I28" s="6" t="n">
        <v>0.6756756756756758</v>
      </c>
      <c r="J28" s="5" t="n">
        <v>19.85761991726263</v>
      </c>
    </row>
    <row r="29">
      <c r="A29" s="7" t="n">
        <v>1.4</v>
      </c>
      <c r="B29" s="8" t="n">
        <v>0.3523444632249347</v>
      </c>
      <c r="C29" s="7" t="n">
        <v>19.42966610325196</v>
      </c>
      <c r="D29" s="8" t="n">
        <v>0.2258618354005988</v>
      </c>
      <c r="E29" s="7" t="n">
        <v>6.775855062017964</v>
      </c>
      <c r="F29" s="8" t="n">
        <v>0.1264826278243353</v>
      </c>
      <c r="G29" s="7" t="n">
        <v>3.79447883473006</v>
      </c>
      <c r="H29" s="8" t="n">
        <v>0.64102564102564</v>
      </c>
      <c r="I29" s="8" t="n">
        <v>0.64102564102564</v>
      </c>
      <c r="J29" s="7" t="n">
        <v>20.32756518605389</v>
      </c>
    </row>
    <row r="30">
      <c r="A30" s="5" t="n">
        <v>1.6</v>
      </c>
      <c r="B30" s="6" t="n">
        <v>0.3749999999999999</v>
      </c>
      <c r="C30" s="5" t="n">
        <v>18.75</v>
      </c>
      <c r="D30" s="6" t="n">
        <v>0.2286585365853659</v>
      </c>
      <c r="E30" s="5" t="n">
        <v>6.859756097560979</v>
      </c>
      <c r="F30" s="6" t="n">
        <v>0.1463414634146342</v>
      </c>
      <c r="G30" s="5" t="n">
        <v>4.390243902439027</v>
      </c>
      <c r="H30" s="6" t="n">
        <v>0.609756097560976</v>
      </c>
      <c r="I30" s="6" t="n">
        <v>0.609756097560976</v>
      </c>
      <c r="J30" s="5" t="n">
        <v>20.57926829268294</v>
      </c>
    </row>
    <row r="31">
      <c r="A31" s="7" t="n">
        <v>1.8</v>
      </c>
      <c r="B31" s="8" t="n">
        <v>0.3951330930860374</v>
      </c>
      <c r="C31" s="7" t="n">
        <v>18.14600720741888</v>
      </c>
      <c r="D31" s="8" t="n">
        <v>0.2297285424918822</v>
      </c>
      <c r="E31" s="7" t="n">
        <v>6.891856274756465</v>
      </c>
      <c r="F31" s="8" t="n">
        <v>0.1654045505941552</v>
      </c>
      <c r="G31" s="7" t="n">
        <v>4.962136517824655</v>
      </c>
      <c r="H31" s="8" t="n">
        <v>0.5813953488372092</v>
      </c>
      <c r="I31" s="8" t="n">
        <v>0.5813953488372092</v>
      </c>
      <c r="J31" s="7" t="n">
        <v>20.6755688242694</v>
      </c>
    </row>
    <row r="32">
      <c r="A32" s="5" t="n">
        <v>2</v>
      </c>
      <c r="B32" s="6" t="n">
        <v>0.4132</v>
      </c>
      <c r="C32" s="5" t="n">
        <v>17.604</v>
      </c>
      <c r="D32" s="6" t="n">
        <v>0.2296</v>
      </c>
      <c r="E32" s="5" t="n">
        <v>6.888</v>
      </c>
      <c r="F32" s="6" t="n">
        <v>0.1836</v>
      </c>
      <c r="G32" s="5" t="n">
        <v>5.508</v>
      </c>
      <c r="H32" s="6" t="n">
        <v>0.5556</v>
      </c>
      <c r="I32" s="6" t="n">
        <v>0.5556631171345595</v>
      </c>
      <c r="J32" s="5" t="n">
        <v>20.664</v>
      </c>
    </row>
    <row r="35" ht="36" customHeight="1">
      <c r="A35" s="9" t="inlineStr">
        <is>
          <t>Примечание: X, Y, Z — с экрана программы (безразмерные, C0=1). CA = 30·(1−X), CR = 30·Y, CS = 30·Z, моль/л. ΠR = v0·CR = 3·CR, кмоль/ч. Для РИС-н на графике — расчёт при тех же τ, на τ=2 подставлены значения с экрана (X=0,4132; Y=0,2296; Z=0,1836).</t>
        </is>
      </c>
    </row>
    <row r="36"/>
    <row r="37"/>
  </sheetData>
  <mergeCells count="5">
    <mergeCell ref="A1:J1"/>
    <mergeCell ref="A35:J37"/>
    <mergeCell ref="A4:J4"/>
    <mergeCell ref="A20:J20"/>
    <mergeCell ref="A2:J2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Результаты моделирования. Вариант 2. CA0 = 30 моль/л; V = 100 л; v0 = 50 л/мин; τ = V/v0 = 2 мин; T = 150 °C</t>
        </is>
      </c>
    </row>
    <row r="3" ht="20" customHeight="1">
      <c r="A3" s="3" t="inlineStr">
        <is>
          <t>РИВ, случай 1: n1=2, n2=1; k1=0,6 л/(моль·мин); k2=0,4 мин⁻¹</t>
        </is>
      </c>
    </row>
    <row r="4" ht="32" customHeight="1">
      <c r="A4" s="4" t="inlineStr">
        <is>
          <t>τ, мин</t>
        </is>
      </c>
      <c r="B4" s="4" t="inlineStr">
        <is>
          <t>X</t>
        </is>
      </c>
      <c r="C4" s="4" t="inlineStr">
        <is>
          <t>CA, моль/л</t>
        </is>
      </c>
      <c r="D4" s="4" t="inlineStr">
        <is>
          <t>Y</t>
        </is>
      </c>
      <c r="E4" s="4" t="inlineStr">
        <is>
          <t>CR, моль/л</t>
        </is>
      </c>
      <c r="F4" s="4" t="inlineStr">
        <is>
          <t>Z</t>
        </is>
      </c>
      <c r="G4" s="4" t="inlineStr">
        <is>
          <t>CS, моль/л</t>
        </is>
      </c>
      <c r="H4" s="4" t="inlineStr">
        <is>
          <t>S (дифф.)</t>
        </is>
      </c>
      <c r="I4" s="4" t="inlineStr">
        <is>
          <t>SR = Y/X</t>
        </is>
      </c>
      <c r="J4" s="4" t="inlineStr">
        <is>
          <t>ΠR, кмоль/ч</t>
        </is>
      </c>
    </row>
    <row r="5">
      <c r="A5" s="5" t="n">
        <v>0</v>
      </c>
      <c r="B5" s="6" t="n">
        <v>0</v>
      </c>
      <c r="C5" s="5" t="n">
        <v>30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1</v>
      </c>
      <c r="I5" s="6" t="n">
        <v>1</v>
      </c>
      <c r="J5" s="5" t="n">
        <v>0</v>
      </c>
    </row>
    <row r="6">
      <c r="A6" s="7" t="n">
        <v>0.2</v>
      </c>
      <c r="B6" s="8" t="n">
        <v>0.1071</v>
      </c>
      <c r="C6" s="7" t="n">
        <v>26.787</v>
      </c>
      <c r="D6" s="8" t="n">
        <v>0.1028</v>
      </c>
      <c r="E6" s="7" t="n">
        <v>3.084</v>
      </c>
      <c r="F6" s="8" t="n">
        <v>0.0043</v>
      </c>
      <c r="G6" s="7" t="n">
        <v>0.129</v>
      </c>
      <c r="H6" s="8" t="n">
        <v>0.9596</v>
      </c>
      <c r="I6" s="8" t="n">
        <v>0.9598506069094305</v>
      </c>
      <c r="J6" s="7" t="n">
        <v>9.252000000000001</v>
      </c>
    </row>
    <row r="7">
      <c r="A7" s="5" t="n">
        <v>0.4</v>
      </c>
      <c r="B7" s="6" t="n">
        <v>0.1935</v>
      </c>
      <c r="C7" s="5" t="n">
        <v>24.195</v>
      </c>
      <c r="D7" s="6" t="n">
        <v>0.1778</v>
      </c>
      <c r="E7" s="5" t="n">
        <v>5.334000000000001</v>
      </c>
      <c r="F7" s="6" t="n">
        <v>0.0157</v>
      </c>
      <c r="G7" s="5" t="n">
        <v>0.471</v>
      </c>
      <c r="H7" s="6" t="n">
        <v>0.9188</v>
      </c>
      <c r="I7" s="6" t="n">
        <v>0.9188630490956072</v>
      </c>
      <c r="J7" s="5" t="n">
        <v>16.002</v>
      </c>
    </row>
    <row r="8">
      <c r="A8" s="7" t="n">
        <v>0.6</v>
      </c>
      <c r="B8" s="8" t="n">
        <v>0.2647</v>
      </c>
      <c r="C8" s="7" t="n">
        <v>22.059</v>
      </c>
      <c r="D8" s="8" t="n">
        <v>0.2325</v>
      </c>
      <c r="E8" s="7" t="n">
        <v>6.975000000000001</v>
      </c>
      <c r="F8" s="8" t="n">
        <v>0.0322</v>
      </c>
      <c r="G8" s="7" t="n">
        <v>0.966</v>
      </c>
      <c r="H8" s="8" t="n">
        <v>0.8782</v>
      </c>
      <c r="I8" s="8" t="n">
        <v>0.8783528522856064</v>
      </c>
      <c r="J8" s="7" t="n">
        <v>20.925</v>
      </c>
    </row>
    <row r="9">
      <c r="A9" s="5" t="n">
        <v>0.8</v>
      </c>
      <c r="B9" s="6" t="n">
        <v>0.3243</v>
      </c>
      <c r="C9" s="5" t="n">
        <v>20.271</v>
      </c>
      <c r="D9" s="6" t="n">
        <v>0.2718</v>
      </c>
      <c r="E9" s="5" t="n">
        <v>8.154</v>
      </c>
      <c r="F9" s="6" t="n">
        <v>0.0525</v>
      </c>
      <c r="G9" s="5" t="n">
        <v>1.575</v>
      </c>
      <c r="H9" s="6" t="n">
        <v>0.8381</v>
      </c>
      <c r="I9" s="6" t="n">
        <v>0.8381128584643849</v>
      </c>
      <c r="J9" s="5" t="n">
        <v>24.462</v>
      </c>
    </row>
    <row r="10">
      <c r="A10" s="7" t="n">
        <v>1</v>
      </c>
      <c r="B10" s="8" t="n">
        <v>0.375</v>
      </c>
      <c r="C10" s="7" t="n">
        <v>18.75</v>
      </c>
      <c r="D10" s="8" t="n">
        <v>0.2996</v>
      </c>
      <c r="E10" s="7" t="n">
        <v>8.988</v>
      </c>
      <c r="F10" s="8" t="n">
        <v>0.07539999999999999</v>
      </c>
      <c r="G10" s="7" t="n">
        <v>2.262</v>
      </c>
      <c r="H10" s="8" t="n">
        <v>0.7989000000000001</v>
      </c>
      <c r="I10" s="8" t="n">
        <v>0.7989333333333333</v>
      </c>
      <c r="J10" s="7" t="n">
        <v>26.964</v>
      </c>
    </row>
    <row r="11">
      <c r="A11" s="5" t="n">
        <v>1.2</v>
      </c>
      <c r="B11" s="6" t="n">
        <v>0.4186</v>
      </c>
      <c r="C11" s="5" t="n">
        <v>17.442</v>
      </c>
      <c r="D11" s="6" t="n">
        <v>0.3184</v>
      </c>
      <c r="E11" s="5" t="n">
        <v>9.552</v>
      </c>
      <c r="F11" s="6" t="n">
        <v>0.1002</v>
      </c>
      <c r="G11" s="5" t="n">
        <v>3.006</v>
      </c>
      <c r="H11" s="6" t="n">
        <v>0.7606000000000001</v>
      </c>
      <c r="I11" s="6" t="n">
        <v>0.7606306736741519</v>
      </c>
      <c r="J11" s="5" t="n">
        <v>28.656</v>
      </c>
    </row>
    <row r="12">
      <c r="A12" s="7" t="n">
        <v>1.4</v>
      </c>
      <c r="B12" s="8" t="n">
        <v>0.4565</v>
      </c>
      <c r="C12" s="7" t="n">
        <v>16.305</v>
      </c>
      <c r="D12" s="8" t="n">
        <v>0.3303</v>
      </c>
      <c r="E12" s="7" t="n">
        <v>9.908999999999999</v>
      </c>
      <c r="F12" s="8" t="n">
        <v>0.1262</v>
      </c>
      <c r="G12" s="7" t="n">
        <v>3.786</v>
      </c>
      <c r="H12" s="8" t="n">
        <v>0.7236</v>
      </c>
      <c r="I12" s="8" t="n">
        <v>0.7235487404162102</v>
      </c>
      <c r="J12" s="7" t="n">
        <v>29.727</v>
      </c>
    </row>
    <row r="13">
      <c r="A13" s="5" t="n">
        <v>1.6</v>
      </c>
      <c r="B13" s="6" t="n">
        <v>0.4898</v>
      </c>
      <c r="C13" s="5" t="n">
        <v>15.306</v>
      </c>
      <c r="D13" s="6" t="n">
        <v>0.3369</v>
      </c>
      <c r="E13" s="5" t="n">
        <v>10.107</v>
      </c>
      <c r="F13" s="6" t="n">
        <v>0.1529</v>
      </c>
      <c r="G13" s="5" t="n">
        <v>4.587000000000001</v>
      </c>
      <c r="H13" s="6" t="n">
        <v>0.6878</v>
      </c>
      <c r="I13" s="6" t="n">
        <v>0.6878317680685994</v>
      </c>
      <c r="J13" s="5" t="n">
        <v>30.321</v>
      </c>
    </row>
    <row r="14">
      <c r="A14" s="7" t="n">
        <v>1.8</v>
      </c>
      <c r="B14" s="8" t="n">
        <v>0.5192</v>
      </c>
      <c r="C14" s="7" t="n">
        <v>14.424</v>
      </c>
      <c r="D14" s="8" t="n">
        <v>0.3393</v>
      </c>
      <c r="E14" s="7" t="n">
        <v>10.179</v>
      </c>
      <c r="F14" s="8" t="n">
        <v>0.18</v>
      </c>
      <c r="G14" s="7" t="n">
        <v>5.399999999999999</v>
      </c>
      <c r="H14" s="8" t="n">
        <v>0.6534</v>
      </c>
      <c r="I14" s="8" t="n">
        <v>0.6535053929121726</v>
      </c>
      <c r="J14" s="7" t="n">
        <v>30.537</v>
      </c>
    </row>
    <row r="15">
      <c r="A15" s="5" t="n">
        <v>2</v>
      </c>
      <c r="B15" s="6" t="n">
        <v>0.5455</v>
      </c>
      <c r="C15" s="5" t="n">
        <v>13.635</v>
      </c>
      <c r="D15" s="6" t="n">
        <v>0.3384</v>
      </c>
      <c r="E15" s="5" t="n">
        <v>10.152</v>
      </c>
      <c r="F15" s="6" t="n">
        <v>0.2071</v>
      </c>
      <c r="G15" s="5" t="n">
        <v>6.213</v>
      </c>
      <c r="H15" s="6" t="n">
        <v>0.6203</v>
      </c>
      <c r="I15" s="6" t="n">
        <v>0.6203483043079743</v>
      </c>
      <c r="J15" s="5" t="n">
        <v>30.456</v>
      </c>
    </row>
    <row r="19" ht="20" customHeight="1">
      <c r="A19" s="3" t="inlineStr">
        <is>
          <t>РИС-н (экран программы), случай 1: n1=2, n2=1; k1=0,6 л/(моль·мин); k2=0,4 мин⁻¹</t>
        </is>
      </c>
    </row>
    <row r="20" ht="32" customHeight="1">
      <c r="A20" s="4" t="inlineStr">
        <is>
          <t>τ, мин</t>
        </is>
      </c>
      <c r="B20" s="4" t="inlineStr">
        <is>
          <t>X</t>
        </is>
      </c>
      <c r="C20" s="4" t="inlineStr">
        <is>
          <t>CA, моль/л</t>
        </is>
      </c>
      <c r="D20" s="4" t="inlineStr">
        <is>
          <t>Y</t>
        </is>
      </c>
      <c r="E20" s="4" t="inlineStr">
        <is>
          <t>CR, моль/л</t>
        </is>
      </c>
      <c r="F20" s="4" t="inlineStr">
        <is>
          <t>Z</t>
        </is>
      </c>
      <c r="G20" s="4" t="inlineStr">
        <is>
          <t>CS, моль/л</t>
        </is>
      </c>
      <c r="H20" s="4" t="inlineStr">
        <is>
          <t>S (дифф.)</t>
        </is>
      </c>
      <c r="I20" s="4" t="inlineStr">
        <is>
          <t>SR = Y/X</t>
        </is>
      </c>
      <c r="J20" s="4" t="inlineStr">
        <is>
          <t>ΠR, кмоль/ч</t>
        </is>
      </c>
    </row>
    <row r="21">
      <c r="A21" s="5" t="n">
        <v>0</v>
      </c>
      <c r="B21" s="6" t="n">
        <v>0</v>
      </c>
      <c r="C21" s="5" t="n">
        <v>30</v>
      </c>
      <c r="D21" s="6" t="n">
        <v>0</v>
      </c>
      <c r="E21" s="5" t="n">
        <v>0</v>
      </c>
      <c r="F21" s="6" t="n">
        <v>0</v>
      </c>
      <c r="G21" s="5" t="n">
        <v>0</v>
      </c>
      <c r="H21" s="6" t="n">
        <v>1</v>
      </c>
      <c r="I21" s="6" t="n">
        <v>1</v>
      </c>
      <c r="J21" s="5" t="n">
        <v>0</v>
      </c>
    </row>
    <row r="22">
      <c r="A22" s="7" t="n">
        <v>2</v>
      </c>
      <c r="B22" s="8" t="n">
        <v>0.4132</v>
      </c>
      <c r="C22" s="7" t="n">
        <v>17.604</v>
      </c>
      <c r="D22" s="8" t="n">
        <v>0.2296</v>
      </c>
      <c r="E22" s="7" t="n">
        <v>6.888</v>
      </c>
      <c r="F22" s="8" t="n">
        <v>0.1836</v>
      </c>
      <c r="G22" s="7" t="n">
        <v>5.508</v>
      </c>
      <c r="H22" s="8" t="n">
        <v>0.5556</v>
      </c>
      <c r="I22" s="8" t="n">
        <v>0.5556631171345595</v>
      </c>
      <c r="J22" s="7" t="n">
        <v>20.664</v>
      </c>
    </row>
    <row r="27" ht="20" customHeight="1">
      <c r="A27" s="3" t="inlineStr">
        <is>
          <t>РИВ, случай 2: n1=n2=1; k1=0,6 мин⁻¹; k2=0,4 мин⁻¹</t>
        </is>
      </c>
    </row>
    <row r="28" ht="32" customHeight="1">
      <c r="A28" s="4" t="inlineStr">
        <is>
          <t>τ, мин</t>
        </is>
      </c>
      <c r="B28" s="4" t="inlineStr">
        <is>
          <t>X</t>
        </is>
      </c>
      <c r="C28" s="4" t="inlineStr">
        <is>
          <t>CA, моль/л</t>
        </is>
      </c>
      <c r="D28" s="4" t="inlineStr">
        <is>
          <t>Y</t>
        </is>
      </c>
      <c r="E28" s="4" t="inlineStr">
        <is>
          <t>CR, моль/л</t>
        </is>
      </c>
      <c r="F28" s="4" t="inlineStr">
        <is>
          <t>Z</t>
        </is>
      </c>
      <c r="G28" s="4" t="inlineStr">
        <is>
          <t>CS, моль/л</t>
        </is>
      </c>
      <c r="H28" s="4" t="inlineStr">
        <is>
          <t>S (дифф.)</t>
        </is>
      </c>
      <c r="I28" s="4" t="inlineStr">
        <is>
          <t>SR = Y/X</t>
        </is>
      </c>
      <c r="J28" s="4" t="inlineStr">
        <is>
          <t>ΠR, кмоль/ч</t>
        </is>
      </c>
    </row>
    <row r="29">
      <c r="A29" s="5" t="n">
        <v>0</v>
      </c>
      <c r="B29" s="6" t="n">
        <v>0</v>
      </c>
      <c r="C29" s="5" t="n">
        <v>30</v>
      </c>
      <c r="D29" s="6" t="n">
        <v>0</v>
      </c>
      <c r="E29" s="5" t="n">
        <v>0</v>
      </c>
      <c r="F29" s="6" t="n">
        <v>0</v>
      </c>
      <c r="G29" s="5" t="n">
        <v>0</v>
      </c>
      <c r="H29" s="6" t="n">
        <v>1</v>
      </c>
      <c r="I29" s="6" t="n">
        <v>1</v>
      </c>
      <c r="J29" s="5" t="n">
        <v>0</v>
      </c>
    </row>
    <row r="30">
      <c r="A30" s="7" t="n">
        <v>0.2</v>
      </c>
      <c r="B30" s="8" t="n">
        <v>0.1131</v>
      </c>
      <c r="C30" s="7" t="n">
        <v>26.607</v>
      </c>
      <c r="D30" s="8" t="n">
        <v>0.1086</v>
      </c>
      <c r="E30" s="7" t="n">
        <v>3.258</v>
      </c>
      <c r="F30" s="8" t="n">
        <v>0.0045</v>
      </c>
      <c r="G30" s="7" t="n">
        <v>0.135</v>
      </c>
      <c r="H30" s="8" t="n">
        <v>0.9603</v>
      </c>
      <c r="I30" s="8" t="n">
        <v>0.9602122015915119</v>
      </c>
      <c r="J30" s="7" t="n">
        <v>9.774000000000001</v>
      </c>
    </row>
    <row r="31">
      <c r="A31" s="5" t="n">
        <v>0.4</v>
      </c>
      <c r="B31" s="6" t="n">
        <v>0.2134</v>
      </c>
      <c r="C31" s="5" t="n">
        <v>23.598</v>
      </c>
      <c r="D31" s="6" t="n">
        <v>0.1965</v>
      </c>
      <c r="E31" s="5" t="n">
        <v>5.895</v>
      </c>
      <c r="F31" s="6" t="n">
        <v>0.0168</v>
      </c>
      <c r="G31" s="5" t="n">
        <v>0.504</v>
      </c>
      <c r="H31" s="6" t="n">
        <v>0.9211</v>
      </c>
      <c r="I31" s="6" t="n">
        <v>0.9208059981255857</v>
      </c>
      <c r="J31" s="5" t="n">
        <v>17.685</v>
      </c>
    </row>
    <row r="32">
      <c r="A32" s="7" t="n">
        <v>0.6</v>
      </c>
      <c r="B32" s="8" t="n">
        <v>0.3023</v>
      </c>
      <c r="C32" s="7" t="n">
        <v>20.931</v>
      </c>
      <c r="D32" s="8" t="n">
        <v>0.2669</v>
      </c>
      <c r="E32" s="7" t="n">
        <v>8.007000000000001</v>
      </c>
      <c r="F32" s="8" t="n">
        <v>0.0355</v>
      </c>
      <c r="G32" s="7" t="n">
        <v>1.065</v>
      </c>
      <c r="H32" s="8" t="n">
        <v>0.8827</v>
      </c>
      <c r="I32" s="8" t="n">
        <v>0.8828977836586173</v>
      </c>
      <c r="J32" s="7" t="n">
        <v>24.021</v>
      </c>
    </row>
    <row r="33">
      <c r="A33" s="5" t="n">
        <v>0.8</v>
      </c>
      <c r="B33" s="6" t="n">
        <v>0.3812</v>
      </c>
      <c r="C33" s="5" t="n">
        <v>18.564</v>
      </c>
      <c r="D33" s="6" t="n">
        <v>0.3221</v>
      </c>
      <c r="E33" s="5" t="n">
        <v>9.663</v>
      </c>
      <c r="F33" s="6" t="n">
        <v>0.0591</v>
      </c>
      <c r="G33" s="5" t="n">
        <v>1.773</v>
      </c>
      <c r="H33" s="6" t="n">
        <v>0.8449</v>
      </c>
      <c r="I33" s="6" t="n">
        <v>0.8449632738719832</v>
      </c>
      <c r="J33" s="5" t="n">
        <v>28.989</v>
      </c>
    </row>
    <row r="34">
      <c r="A34" s="7" t="n">
        <v>1</v>
      </c>
      <c r="B34" s="8" t="n">
        <v>0.4512</v>
      </c>
      <c r="C34" s="7" t="n">
        <v>16.464</v>
      </c>
      <c r="D34" s="8" t="n">
        <v>0.3645</v>
      </c>
      <c r="E34" s="7" t="n">
        <v>10.935</v>
      </c>
      <c r="F34" s="8" t="n">
        <v>0.0867</v>
      </c>
      <c r="G34" s="7" t="n">
        <v>2.601</v>
      </c>
      <c r="H34" s="8" t="n">
        <v>0.8079</v>
      </c>
      <c r="I34" s="8" t="n">
        <v>0.807845744680851</v>
      </c>
      <c r="J34" s="7" t="n">
        <v>32.805</v>
      </c>
    </row>
    <row r="35">
      <c r="A35" s="5" t="n">
        <v>1.2</v>
      </c>
      <c r="B35" s="6" t="n">
        <v>0.5132</v>
      </c>
      <c r="C35" s="5" t="n">
        <v>14.604</v>
      </c>
      <c r="D35" s="6" t="n">
        <v>0.3961</v>
      </c>
      <c r="E35" s="5" t="n">
        <v>11.883</v>
      </c>
      <c r="F35" s="6" t="n">
        <v>0.1172</v>
      </c>
      <c r="G35" s="5" t="n">
        <v>3.516</v>
      </c>
      <c r="H35" s="6" t="n">
        <v>0.7717000000000001</v>
      </c>
      <c r="I35" s="6" t="n">
        <v>0.7718238503507405</v>
      </c>
      <c r="J35" s="5" t="n">
        <v>35.649</v>
      </c>
    </row>
    <row r="36">
      <c r="A36" s="7" t="n">
        <v>1.4</v>
      </c>
      <c r="B36" s="8" t="n">
        <v>0.5683</v>
      </c>
      <c r="C36" s="7" t="n">
        <v>12.951</v>
      </c>
      <c r="D36" s="8" t="n">
        <v>0.4185</v>
      </c>
      <c r="E36" s="7" t="n">
        <v>12.555</v>
      </c>
      <c r="F36" s="8" t="n">
        <v>0.1498</v>
      </c>
      <c r="G36" s="7" t="n">
        <v>4.494</v>
      </c>
      <c r="H36" s="8" t="n">
        <v>0.7364000000000001</v>
      </c>
      <c r="I36" s="8" t="n">
        <v>0.7364068273799049</v>
      </c>
      <c r="J36" s="7" t="n">
        <v>37.665</v>
      </c>
    </row>
    <row r="37">
      <c r="A37" s="5" t="n">
        <v>1.6</v>
      </c>
      <c r="B37" s="6" t="n">
        <v>0.6171</v>
      </c>
      <c r="C37" s="5" t="n">
        <v>11.487</v>
      </c>
      <c r="D37" s="6" t="n">
        <v>0.4332</v>
      </c>
      <c r="E37" s="5" t="n">
        <v>12.996</v>
      </c>
      <c r="F37" s="6" t="n">
        <v>0.1839</v>
      </c>
      <c r="G37" s="5" t="n">
        <v>5.517</v>
      </c>
      <c r="H37" s="6" t="n">
        <v>0.702</v>
      </c>
      <c r="I37" s="6" t="n">
        <v>0.7019931939718036</v>
      </c>
      <c r="J37" s="5" t="n">
        <v>38.988</v>
      </c>
    </row>
    <row r="38">
      <c r="A38" s="7" t="n">
        <v>1.8</v>
      </c>
      <c r="B38" s="8" t="n">
        <v>0.6604</v>
      </c>
      <c r="C38" s="7" t="n">
        <v>10.188</v>
      </c>
      <c r="D38" s="8" t="n">
        <v>0.4415</v>
      </c>
      <c r="E38" s="7" t="n">
        <v>13.245</v>
      </c>
      <c r="F38" s="8" t="n">
        <v>0.2189</v>
      </c>
      <c r="G38" s="7" t="n">
        <v>6.567</v>
      </c>
      <c r="H38" s="8" t="n">
        <v>0.6685</v>
      </c>
      <c r="I38" s="8" t="n">
        <v>0.668534221683828</v>
      </c>
      <c r="J38" s="7" t="n">
        <v>39.735</v>
      </c>
    </row>
    <row r="39">
      <c r="A39" s="5" t="n">
        <v>2</v>
      </c>
      <c r="B39" s="6" t="n">
        <v>0.6988</v>
      </c>
      <c r="C39" s="5" t="n">
        <v>9.036000000000001</v>
      </c>
      <c r="D39" s="6" t="n">
        <v>0.4444</v>
      </c>
      <c r="E39" s="5" t="n">
        <v>13.332</v>
      </c>
      <c r="F39" s="6" t="n">
        <v>0.2544</v>
      </c>
      <c r="G39" s="5" t="n">
        <v>7.632000000000001</v>
      </c>
      <c r="H39" s="6" t="n">
        <v>0.6359</v>
      </c>
      <c r="I39" s="6" t="n">
        <v>0.6359473382942187</v>
      </c>
      <c r="J39" s="5" t="n">
        <v>39.996</v>
      </c>
    </row>
    <row r="43" ht="20" customHeight="1">
      <c r="A43" s="3" t="inlineStr">
        <is>
          <t>РИС-н (экран программы), случай 2: n1=n2=1; k1=0,6 мин⁻¹; k2=0,4 мин⁻¹</t>
        </is>
      </c>
    </row>
    <row r="44" ht="32" customHeight="1">
      <c r="A44" s="4" t="inlineStr">
        <is>
          <t>τ, мин</t>
        </is>
      </c>
      <c r="B44" s="4" t="inlineStr">
        <is>
          <t>X</t>
        </is>
      </c>
      <c r="C44" s="4" t="inlineStr">
        <is>
          <t>CA, моль/л</t>
        </is>
      </c>
      <c r="D44" s="4" t="inlineStr">
        <is>
          <t>Y</t>
        </is>
      </c>
      <c r="E44" s="4" t="inlineStr">
        <is>
          <t>CR, моль/л</t>
        </is>
      </c>
      <c r="F44" s="4" t="inlineStr">
        <is>
          <t>Z</t>
        </is>
      </c>
      <c r="G44" s="4" t="inlineStr">
        <is>
          <t>CS, моль/л</t>
        </is>
      </c>
      <c r="H44" s="4" t="inlineStr">
        <is>
          <t>S (дифф.)</t>
        </is>
      </c>
      <c r="I44" s="4" t="inlineStr">
        <is>
          <t>SR = Y/X</t>
        </is>
      </c>
      <c r="J44" s="4" t="inlineStr">
        <is>
          <t>ΠR, кмоль/ч</t>
        </is>
      </c>
    </row>
    <row r="45">
      <c r="A45" s="5" t="n">
        <v>0</v>
      </c>
      <c r="B45" s="6" t="n">
        <v>0</v>
      </c>
      <c r="C45" s="5" t="n">
        <v>30</v>
      </c>
      <c r="D45" s="6" t="n">
        <v>0</v>
      </c>
      <c r="E45" s="5" t="n">
        <v>0</v>
      </c>
      <c r="F45" s="6" t="n">
        <v>0</v>
      </c>
      <c r="G45" s="5" t="n">
        <v>0</v>
      </c>
      <c r="H45" s="6" t="n">
        <v>1</v>
      </c>
      <c r="I45" s="6" t="n">
        <v>1</v>
      </c>
      <c r="J45" s="5" t="n">
        <v>0</v>
      </c>
    </row>
    <row r="46">
      <c r="A46" s="7" t="n">
        <v>2</v>
      </c>
      <c r="B46" s="8" t="n">
        <v>0.5454</v>
      </c>
      <c r="C46" s="7" t="n">
        <v>13.638</v>
      </c>
      <c r="D46" s="8" t="n">
        <v>0.303</v>
      </c>
      <c r="E46" s="7" t="n">
        <v>9.09</v>
      </c>
      <c r="F46" s="8" t="n">
        <v>0.2424</v>
      </c>
      <c r="G46" s="7" t="n">
        <v>7.272</v>
      </c>
      <c r="H46" s="8" t="n">
        <v>0.5556</v>
      </c>
      <c r="I46" s="8" t="n">
        <v>0.5555555555555556</v>
      </c>
      <c r="J46" s="7" t="n">
        <v>27.27</v>
      </c>
    </row>
    <row r="51" ht="20" customHeight="1">
      <c r="A51" s="3" t="inlineStr">
        <is>
          <t>РИВ, случай 3: n1=1, n2=2; k1=0,6 мин⁻¹; k2=0,4 л/(моль·мин)</t>
        </is>
      </c>
    </row>
    <row r="52" ht="32" customHeight="1">
      <c r="A52" s="4" t="inlineStr">
        <is>
          <t>τ, мин</t>
        </is>
      </c>
      <c r="B52" s="4" t="inlineStr">
        <is>
          <t>X</t>
        </is>
      </c>
      <c r="C52" s="4" t="inlineStr">
        <is>
          <t>CA, моль/л</t>
        </is>
      </c>
      <c r="D52" s="4" t="inlineStr">
        <is>
          <t>Y</t>
        </is>
      </c>
      <c r="E52" s="4" t="inlineStr">
        <is>
          <t>CR, моль/л</t>
        </is>
      </c>
      <c r="F52" s="4" t="inlineStr">
        <is>
          <t>Z</t>
        </is>
      </c>
      <c r="G52" s="4" t="inlineStr">
        <is>
          <t>CS, моль/л</t>
        </is>
      </c>
      <c r="H52" s="4" t="inlineStr">
        <is>
          <t>S (дифф.)</t>
        </is>
      </c>
      <c r="I52" s="4" t="inlineStr">
        <is>
          <t>SR = Y/X</t>
        </is>
      </c>
      <c r="J52" s="4" t="inlineStr">
        <is>
          <t>ΠR, кмоль/ч</t>
        </is>
      </c>
    </row>
    <row r="53">
      <c r="A53" s="5" t="n">
        <v>0</v>
      </c>
      <c r="B53" s="6" t="n">
        <v>0</v>
      </c>
      <c r="C53" s="5" t="n">
        <v>30</v>
      </c>
      <c r="D53" s="6" t="n">
        <v>0</v>
      </c>
      <c r="E53" s="5" t="n">
        <v>0</v>
      </c>
      <c r="F53" s="6" t="n">
        <v>0</v>
      </c>
      <c r="G53" s="5" t="n">
        <v>0</v>
      </c>
      <c r="H53" s="6" t="n">
        <v>1</v>
      </c>
      <c r="I53" s="6" t="n">
        <v>1</v>
      </c>
      <c r="J53" s="5" t="n">
        <v>0</v>
      </c>
    </row>
    <row r="54">
      <c r="A54" s="7" t="n">
        <v>0.2</v>
      </c>
      <c r="B54" s="8" t="n">
        <v>0.1131</v>
      </c>
      <c r="C54" s="7" t="n">
        <v>26.607</v>
      </c>
      <c r="D54" s="8" t="n">
        <v>0.1127</v>
      </c>
      <c r="E54" s="7" t="n">
        <v>3.381</v>
      </c>
      <c r="F54" s="8" t="n">
        <v>0.0004</v>
      </c>
      <c r="G54" s="7" t="n">
        <v>0.012</v>
      </c>
      <c r="H54" s="8" t="n">
        <v>0.9969</v>
      </c>
      <c r="I54" s="8" t="n">
        <v>0.9964633068081343</v>
      </c>
      <c r="J54" s="7" t="n">
        <v>10.143</v>
      </c>
    </row>
    <row r="55">
      <c r="A55" s="5" t="n">
        <v>0.4</v>
      </c>
      <c r="B55" s="6" t="n">
        <v>0.2134</v>
      </c>
      <c r="C55" s="5" t="n">
        <v>23.598</v>
      </c>
      <c r="D55" s="6" t="n">
        <v>0.2108</v>
      </c>
      <c r="E55" s="5" t="n">
        <v>6.324</v>
      </c>
      <c r="F55" s="6" t="n">
        <v>0.0025</v>
      </c>
      <c r="G55" s="5" t="n">
        <v>0.075</v>
      </c>
      <c r="H55" s="6" t="n">
        <v>0.9881</v>
      </c>
      <c r="I55" s="6" t="n">
        <v>0.9878163074039362</v>
      </c>
      <c r="J55" s="5" t="n">
        <v>18.972</v>
      </c>
    </row>
    <row r="56">
      <c r="A56" s="7" t="n">
        <v>0.6</v>
      </c>
      <c r="B56" s="8" t="n">
        <v>0.3023</v>
      </c>
      <c r="C56" s="7" t="n">
        <v>20.931</v>
      </c>
      <c r="D56" s="8" t="n">
        <v>0.2946</v>
      </c>
      <c r="E56" s="7" t="n">
        <v>8.837999999999999</v>
      </c>
      <c r="F56" s="8" t="n">
        <v>0.0077</v>
      </c>
      <c r="G56" s="7" t="n">
        <v>0.231</v>
      </c>
      <c r="H56" s="8" t="n">
        <v>0.9744</v>
      </c>
      <c r="I56" s="8" t="n">
        <v>0.9745286139596426</v>
      </c>
      <c r="J56" s="7" t="n">
        <v>26.514</v>
      </c>
    </row>
    <row r="57">
      <c r="A57" s="5" t="n">
        <v>0.8</v>
      </c>
      <c r="B57" s="6" t="n">
        <v>0.3812</v>
      </c>
      <c r="C57" s="5" t="n">
        <v>18.564</v>
      </c>
      <c r="D57" s="6" t="n">
        <v>0.3647</v>
      </c>
      <c r="E57" s="5" t="n">
        <v>10.941</v>
      </c>
      <c r="F57" s="6" t="n">
        <v>0.0165</v>
      </c>
      <c r="G57" s="5" t="n">
        <v>0.495</v>
      </c>
      <c r="H57" s="6" t="n">
        <v>0.9566</v>
      </c>
      <c r="I57" s="6" t="n">
        <v>0.9567156348373558</v>
      </c>
      <c r="J57" s="5" t="n">
        <v>32.823</v>
      </c>
    </row>
    <row r="58">
      <c r="A58" s="7" t="n">
        <v>1</v>
      </c>
      <c r="B58" s="8" t="n">
        <v>0.4512</v>
      </c>
      <c r="C58" s="7" t="n">
        <v>16.464</v>
      </c>
      <c r="D58" s="8" t="n">
        <v>0.4222</v>
      </c>
      <c r="E58" s="7" t="n">
        <v>12.666</v>
      </c>
      <c r="F58" s="8" t="n">
        <v>0.029</v>
      </c>
      <c r="G58" s="7" t="n">
        <v>0.87</v>
      </c>
      <c r="H58" s="8" t="n">
        <v>0.9357</v>
      </c>
      <c r="I58" s="8" t="n">
        <v>0.93572695035461</v>
      </c>
      <c r="J58" s="7" t="n">
        <v>37.998</v>
      </c>
    </row>
    <row r="59">
      <c r="A59" s="5" t="n">
        <v>1.2</v>
      </c>
      <c r="B59" s="6" t="n">
        <v>0.5132</v>
      </c>
      <c r="C59" s="5" t="n">
        <v>14.604</v>
      </c>
      <c r="D59" s="6" t="n">
        <v>0.4683</v>
      </c>
      <c r="E59" s="5" t="n">
        <v>14.049</v>
      </c>
      <c r="F59" s="6" t="n">
        <v>0.0449</v>
      </c>
      <c r="G59" s="5" t="n">
        <v>1.347</v>
      </c>
      <c r="H59" s="6" t="n">
        <v>0.9124</v>
      </c>
      <c r="I59" s="6" t="n">
        <v>0.9125097427903351</v>
      </c>
      <c r="J59" s="5" t="n">
        <v>42.147</v>
      </c>
    </row>
    <row r="60">
      <c r="A60" s="7" t="n">
        <v>1.4</v>
      </c>
      <c r="B60" s="8" t="n">
        <v>0.5683</v>
      </c>
      <c r="C60" s="7" t="n">
        <v>12.951</v>
      </c>
      <c r="D60" s="8" t="n">
        <v>0.5044</v>
      </c>
      <c r="E60" s="7" t="n">
        <v>15.132</v>
      </c>
      <c r="F60" s="8" t="n">
        <v>0.0639</v>
      </c>
      <c r="G60" s="7" t="n">
        <v>1.917</v>
      </c>
      <c r="H60" s="8" t="n">
        <v>0.8875</v>
      </c>
      <c r="I60" s="8" t="n">
        <v>0.8875593876473692</v>
      </c>
      <c r="J60" s="7" t="n">
        <v>45.39599999999999</v>
      </c>
    </row>
    <row r="61">
      <c r="A61" s="5" t="n">
        <v>1.6</v>
      </c>
      <c r="B61" s="6" t="n">
        <v>0.6171</v>
      </c>
      <c r="C61" s="5" t="n">
        <v>11.487</v>
      </c>
      <c r="D61" s="6" t="n">
        <v>0.5317</v>
      </c>
      <c r="E61" s="5" t="n">
        <v>15.951</v>
      </c>
      <c r="F61" s="6" t="n">
        <v>0.08550000000000001</v>
      </c>
      <c r="G61" s="5" t="n">
        <v>2.565</v>
      </c>
      <c r="H61" s="6" t="n">
        <v>0.8615</v>
      </c>
      <c r="I61" s="6" t="n">
        <v>0.8616107600064818</v>
      </c>
      <c r="J61" s="5" t="n">
        <v>47.85299999999999</v>
      </c>
    </row>
    <row r="62">
      <c r="A62" s="7" t="n">
        <v>1.8</v>
      </c>
      <c r="B62" s="8" t="n">
        <v>0.6604</v>
      </c>
      <c r="C62" s="7" t="n">
        <v>10.188</v>
      </c>
      <c r="D62" s="8" t="n">
        <v>0.5514</v>
      </c>
      <c r="E62" s="7" t="n">
        <v>16.542</v>
      </c>
      <c r="F62" s="8" t="n">
        <v>0.109</v>
      </c>
      <c r="G62" s="7" t="n">
        <v>3.27</v>
      </c>
      <c r="H62" s="8" t="n">
        <v>0.835</v>
      </c>
      <c r="I62" s="8" t="n">
        <v>0.8349485160508783</v>
      </c>
      <c r="J62" s="7" t="n">
        <v>49.626</v>
      </c>
    </row>
    <row r="63">
      <c r="A63" s="5" t="n">
        <v>2</v>
      </c>
      <c r="B63" s="6" t="n">
        <v>0.6988</v>
      </c>
      <c r="C63" s="5" t="n">
        <v>9.036000000000001</v>
      </c>
      <c r="D63" s="6" t="n">
        <v>0.5649</v>
      </c>
      <c r="E63" s="5" t="n">
        <v>16.947</v>
      </c>
      <c r="F63" s="6" t="n">
        <v>0.1339</v>
      </c>
      <c r="G63" s="5" t="n">
        <v>4.016999999999999</v>
      </c>
      <c r="H63" s="6" t="n">
        <v>0.8083</v>
      </c>
      <c r="I63" s="6" t="n">
        <v>0.8083858042358328</v>
      </c>
      <c r="J63" s="5" t="n">
        <v>50.84099999999999</v>
      </c>
    </row>
    <row r="67" ht="20" customHeight="1">
      <c r="A67" s="3" t="inlineStr">
        <is>
          <t>РИС-н (экран программы), случай 3: n1=1, n2=2; k1=0,6 мин⁻¹; k2=0,4 л/(моль·мин)</t>
        </is>
      </c>
    </row>
    <row r="68" ht="32" customHeight="1">
      <c r="A68" s="4" t="inlineStr">
        <is>
          <t>τ, мин</t>
        </is>
      </c>
      <c r="B68" s="4" t="inlineStr">
        <is>
          <t>X</t>
        </is>
      </c>
      <c r="C68" s="4" t="inlineStr">
        <is>
          <t>CA, моль/л</t>
        </is>
      </c>
      <c r="D68" s="4" t="inlineStr">
        <is>
          <t>Y</t>
        </is>
      </c>
      <c r="E68" s="4" t="inlineStr">
        <is>
          <t>CR, моль/л</t>
        </is>
      </c>
      <c r="F68" s="4" t="inlineStr">
        <is>
          <t>Z</t>
        </is>
      </c>
      <c r="G68" s="4" t="inlineStr">
        <is>
          <t>CS, моль/л</t>
        </is>
      </c>
      <c r="H68" s="4" t="inlineStr">
        <is>
          <t>S (дифф.)</t>
        </is>
      </c>
      <c r="I68" s="4" t="inlineStr">
        <is>
          <t>SR = Y/X</t>
        </is>
      </c>
      <c r="J68" s="4" t="inlineStr">
        <is>
          <t>ΠR, кмоль/ч</t>
        </is>
      </c>
    </row>
    <row r="69">
      <c r="A69" s="5" t="n">
        <v>0</v>
      </c>
      <c r="B69" s="6" t="n">
        <v>0</v>
      </c>
      <c r="C69" s="5" t="n">
        <v>30</v>
      </c>
      <c r="D69" s="6" t="n">
        <v>0</v>
      </c>
      <c r="E69" s="5" t="n">
        <v>0</v>
      </c>
      <c r="F69" s="6" t="n">
        <v>0</v>
      </c>
      <c r="G69" s="5" t="n">
        <v>0</v>
      </c>
      <c r="H69" s="6" t="n">
        <v>1</v>
      </c>
      <c r="I69" s="6" t="n">
        <v>1</v>
      </c>
      <c r="J69" s="5" t="n">
        <v>0</v>
      </c>
    </row>
    <row r="70">
      <c r="A70" s="7" t="n">
        <v>2</v>
      </c>
      <c r="B70" s="8" t="n">
        <v>0.5454</v>
      </c>
      <c r="C70" s="7" t="n">
        <v>13.638</v>
      </c>
      <c r="D70" s="8" t="n">
        <v>0.4106</v>
      </c>
      <c r="E70" s="7" t="n">
        <v>12.318</v>
      </c>
      <c r="F70" s="8" t="n">
        <v>0.1349</v>
      </c>
      <c r="G70" s="7" t="n">
        <v>4.047</v>
      </c>
      <c r="H70" s="8" t="n">
        <v>0.7528</v>
      </c>
      <c r="I70" s="8" t="n">
        <v>0.7528419508617529</v>
      </c>
      <c r="J70" s="7" t="n">
        <v>36.954</v>
      </c>
    </row>
  </sheetData>
  <mergeCells count="7">
    <mergeCell ref="A1:J1"/>
    <mergeCell ref="A27:J27"/>
    <mergeCell ref="A67:J67"/>
    <mergeCell ref="A3:J3"/>
    <mergeCell ref="A43:J43"/>
    <mergeCell ref="A19:J19"/>
    <mergeCell ref="A51:J5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Производительность по R, интегральная селективность и выводы</t>
        </is>
      </c>
    </row>
    <row r="3" ht="28" customHeight="1">
      <c r="A3" s="4" t="inlineStr">
        <is>
          <t>Случай</t>
        </is>
      </c>
      <c r="B3" s="4" t="inlineStr">
        <is>
          <t>Реактор</t>
        </is>
      </c>
      <c r="C3" s="4" t="inlineStr">
        <is>
          <t>X (τ=2)</t>
        </is>
      </c>
      <c r="D3" s="4" t="inlineStr">
        <is>
          <t>Y</t>
        </is>
      </c>
      <c r="E3" s="4" t="inlineStr">
        <is>
          <t>CR, моль/л</t>
        </is>
      </c>
      <c r="F3" s="4" t="inlineStr">
        <is>
          <t>ΠR, кмоль/ч</t>
        </is>
      </c>
      <c r="G3" s="4" t="inlineStr">
        <is>
          <t>SR = Y/X</t>
        </is>
      </c>
    </row>
    <row r="4">
      <c r="A4" s="10" t="inlineStr">
        <is>
          <t>случай 1</t>
        </is>
      </c>
      <c r="B4" s="11" t="inlineStr">
        <is>
          <t>РИС-н</t>
        </is>
      </c>
      <c r="C4" s="6" t="n">
        <v>0.4132</v>
      </c>
      <c r="D4" s="6" t="n">
        <v>0.2296</v>
      </c>
      <c r="E4" s="5" t="n">
        <v>6.888</v>
      </c>
      <c r="F4" s="5" t="n">
        <v>20.664</v>
      </c>
      <c r="G4" s="6" t="n">
        <v>0.5556631171345595</v>
      </c>
    </row>
    <row r="5">
      <c r="A5" s="12" t="inlineStr">
        <is>
          <t>случай 1</t>
        </is>
      </c>
      <c r="B5" s="13" t="inlineStr">
        <is>
          <t>РИВ</t>
        </is>
      </c>
      <c r="C5" s="14" t="n">
        <v>0.5455</v>
      </c>
      <c r="D5" s="14" t="n">
        <v>0.3384</v>
      </c>
      <c r="E5" s="15" t="n">
        <v>10.152</v>
      </c>
      <c r="F5" s="15" t="n">
        <v>30.456</v>
      </c>
      <c r="G5" s="14" t="n">
        <v>0.6203483043079743</v>
      </c>
    </row>
    <row r="6">
      <c r="A6" s="10" t="inlineStr">
        <is>
          <t>случай 2</t>
        </is>
      </c>
      <c r="B6" s="11" t="inlineStr">
        <is>
          <t>РИС-н</t>
        </is>
      </c>
      <c r="C6" s="6" t="n">
        <v>0.5454</v>
      </c>
      <c r="D6" s="6" t="n">
        <v>0.303</v>
      </c>
      <c r="E6" s="5" t="n">
        <v>9.09</v>
      </c>
      <c r="F6" s="5" t="n">
        <v>27.27</v>
      </c>
      <c r="G6" s="6" t="n">
        <v>0.5555555555555556</v>
      </c>
    </row>
    <row r="7">
      <c r="A7" s="12" t="inlineStr">
        <is>
          <t>случай 2</t>
        </is>
      </c>
      <c r="B7" s="13" t="inlineStr">
        <is>
          <t>РИВ</t>
        </is>
      </c>
      <c r="C7" s="14" t="n">
        <v>0.6988</v>
      </c>
      <c r="D7" s="14" t="n">
        <v>0.4444</v>
      </c>
      <c r="E7" s="15" t="n">
        <v>13.332</v>
      </c>
      <c r="F7" s="15" t="n">
        <v>39.996</v>
      </c>
      <c r="G7" s="14" t="n">
        <v>0.6359473382942187</v>
      </c>
    </row>
    <row r="8">
      <c r="A8" s="10" t="inlineStr">
        <is>
          <t>случай 3</t>
        </is>
      </c>
      <c r="B8" s="11" t="inlineStr">
        <is>
          <t>РИС-н</t>
        </is>
      </c>
      <c r="C8" s="6" t="n">
        <v>0.5454</v>
      </c>
      <c r="D8" s="6" t="n">
        <v>0.4106</v>
      </c>
      <c r="E8" s="5" t="n">
        <v>12.318</v>
      </c>
      <c r="F8" s="5" t="n">
        <v>36.954</v>
      </c>
      <c r="G8" s="6" t="n">
        <v>0.7528419508617529</v>
      </c>
    </row>
    <row r="9">
      <c r="A9" s="12" t="inlineStr">
        <is>
          <t>случай 3</t>
        </is>
      </c>
      <c r="B9" s="13" t="inlineStr">
        <is>
          <t>РИВ</t>
        </is>
      </c>
      <c r="C9" s="14" t="n">
        <v>0.6988</v>
      </c>
      <c r="D9" s="14" t="n">
        <v>0.5649</v>
      </c>
      <c r="E9" s="15" t="n">
        <v>16.947</v>
      </c>
      <c r="F9" s="15" t="n">
        <v>50.84099999999999</v>
      </c>
      <c r="G9" s="14" t="n">
        <v>0.8083858042358328</v>
      </c>
    </row>
    <row r="11">
      <c r="A11" s="16" t="inlineStr">
        <is>
          <t>Вывод</t>
        </is>
      </c>
    </row>
    <row r="12" ht="90" customHeight="1">
      <c r="A12" s="17" t="inlineStr">
        <is>
          <t>При одинаковых V, v0 и τ = 2 мин во всех трёх случаях РИВ лучше РИС-н: выше степень превращения X, селективность SR и производительность ΠR по целевому продукту R. В РИС-н весь объём работает при низкой выходной CA, поэтому стадия A → R идёт медленнее.
Случай 1 (n1 = 2) наименее выгоден — целевая реакция тормозится по мере расхода A. Случаи 2 и 3 дают одинаковое X (n1 = 1), но случай 3 (n2 = 2) лучший: побочная R → S замедлена, в РИВ ΠR = 50,84 кмоль/ч против 30,46 и 40,00 в случаях 1 и 2.
Вывод: процесс целесообразнее вести в РИВ; из трёх кинетик оптимален случай 3.</t>
        </is>
      </c>
    </row>
    <row r="13"/>
    <row r="14"/>
    <row r="15"/>
    <row r="16"/>
    <row r="17"/>
    <row r="18"/>
  </sheetData>
  <mergeCells count="3">
    <mergeCell ref="A12:G18"/>
    <mergeCell ref="A11:G11"/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2026-09-15T16:22:42Z</dcterms:created>
  <dcterms:modified xsi:type="dcterms:W3CDTF">2026-09-15T16:22:42Z</dcterms:modified>
</cp:coreProperties>
</file>