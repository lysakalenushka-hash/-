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Графики_случай1" sheetId="1" state="visible" r:id="rId1"/>
    <sheet name="Таблицы_все_случаи" sheetId="2" state="visible" r:id="rId2"/>
    <sheet name="Производительность_выводы" sheetId="3" state="visible" r:id="rId3"/>
  </sheets>
  <definedNames>
    <definedName name="_xlnm.Print_Titles" localSheetId="0">'Графики_случай1'!$1:$2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666666"/>
      <sz val="10"/>
    </font>
    <font>
      <name val="Calibri"/>
      <b val="1"/>
      <color rgb="002E75B6"/>
      <sz val="12"/>
    </font>
    <font>
      <name val="Calibri"/>
      <b val="1"/>
      <color rgb="00FFFFFF"/>
      <sz val="11"/>
    </font>
    <font>
      <name val="Calibri"/>
      <sz val="11"/>
    </font>
    <font>
      <name val="Calibri"/>
      <color rgb="00333333"/>
      <sz val="10"/>
    </font>
    <font>
      <name val="Calibri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2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РИВ, случай 1: Ci = f(τ)</a:t>
            </a:r>
          </a:p>
        </rich>
      </tx>
    </title>
    <plotArea>
      <scatterChart>
        <scatterStyle val="smoothMarker"/>
        <ser>
          <idx val="0"/>
          <order val="0"/>
          <tx>
            <v>CA</v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square"/>
            <size val="10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'Графики_случай1'!$A$6:$A$17</f>
            </numRef>
          </xVal>
          <yVal>
            <numRef>
              <f>'Графики_случай1'!$C$6:$C$17</f>
            </numRef>
          </yVal>
          <smooth val="1"/>
        </ser>
        <ser>
          <idx val="1"/>
          <order val="1"/>
          <tx>
            <v>CR (целевой)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star"/>
            <size val="12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'Графики_случай1'!$A$6:$A$17</f>
            </numRef>
          </xVal>
          <yVal>
            <numRef>
              <f>'Графики_случай1'!$E$6:$E$17</f>
            </numRef>
          </yVal>
          <smooth val="1"/>
        </ser>
        <ser>
          <idx val="2"/>
          <order val="2"/>
          <tx>
            <v>CS (побочный)</v>
          </tx>
          <spPr>
            <a:ln w="19050" cap="rnd">
              <a:solidFill>
                <a:schemeClr val="accent3"/>
              </a:solidFill>
              <a:prstDash val="solid"/>
              <a:round/>
            </a:ln>
          </spPr>
          <marker>
            <symbol val="x"/>
            <size val="10"/>
            <spPr>
              <a:noFill/>
              <a:ln w="9525">
                <a:solidFill>
                  <a:schemeClr val="accent3"/>
                </a:solidFill>
                <a:prstDash val="solid"/>
              </a:ln>
            </spPr>
          </marker>
          <xVal>
            <numRef>
              <f>'Графики_случай1'!$A$6:$A$17</f>
            </numRef>
          </xVal>
          <yVal>
            <numRef>
              <f>'Графики_случай1'!$G$6:$G$17</f>
            </numRef>
          </yVal>
          <smooth val="1"/>
        </ser>
        <axId val="1"/>
        <axId val="2"/>
      </scatterChart>
      <valAx>
        <axId val="1"/>
        <scaling>
          <orientation val="minMax"/>
          <max val="2"/>
          <min val="0"/>
        </scaling>
        <axPos val="l"/>
        <majorGridlines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τ, мин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20"/>
        <majorUnit val="0.25"/>
      </valAx>
      <valAx>
        <axId val="2"/>
        <scaling>
          <orientation val="minMax"/>
          <max val="32"/>
          <min val="0"/>
        </scaling>
        <axPos val="l"/>
        <majorGridlines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Ci, моль/л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10"/>
        <majorUnit val="5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РИС-н, случай 1: Ci = f(τ)</a:t>
            </a:r>
          </a:p>
        </rich>
      </tx>
    </title>
    <plotArea>
      <scatterChart>
        <scatterStyle val="smoothMarker"/>
        <ser>
          <idx val="0"/>
          <order val="0"/>
          <tx>
            <v>CA</v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square"/>
            <size val="10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'Графики_случай1'!$A$23:$A$33</f>
            </numRef>
          </xVal>
          <yVal>
            <numRef>
              <f>'Графики_случай1'!$C$23:$C$33</f>
            </numRef>
          </yVal>
          <smooth val="1"/>
        </ser>
        <ser>
          <idx val="1"/>
          <order val="1"/>
          <tx>
            <v>CR (целевой)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star"/>
            <size val="12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'Графики_случай1'!$A$23:$A$33</f>
            </numRef>
          </xVal>
          <yVal>
            <numRef>
              <f>'Графики_случай1'!$E$23:$E$33</f>
            </numRef>
          </yVal>
          <smooth val="1"/>
        </ser>
        <ser>
          <idx val="2"/>
          <order val="2"/>
          <tx>
            <v>CS (побочный)</v>
          </tx>
          <spPr>
            <a:ln w="19050" cap="rnd">
              <a:solidFill>
                <a:schemeClr val="accent3"/>
              </a:solidFill>
              <a:prstDash val="solid"/>
              <a:round/>
            </a:ln>
          </spPr>
          <marker>
            <symbol val="x"/>
            <size val="10"/>
            <spPr>
              <a:noFill/>
              <a:ln w="9525">
                <a:solidFill>
                  <a:schemeClr val="accent3"/>
                </a:solidFill>
                <a:prstDash val="solid"/>
              </a:ln>
            </spPr>
          </marker>
          <xVal>
            <numRef>
              <f>'Графики_случай1'!$A$23:$A$33</f>
            </numRef>
          </xVal>
          <yVal>
            <numRef>
              <f>'Графики_случай1'!$G$23:$G$33</f>
            </numRef>
          </yVal>
          <smooth val="1"/>
        </ser>
        <axId val="1"/>
        <axId val="2"/>
      </scatterChart>
      <valAx>
        <axId val="1"/>
        <scaling>
          <orientation val="minMax"/>
          <max val="2"/>
          <min val="0"/>
        </scaling>
        <axPos val="l"/>
        <majorGridlines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τ, мин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20"/>
        <majorUnit val="0.25"/>
      </valAx>
      <valAx>
        <axId val="2"/>
        <scaling>
          <orientation val="minMax"/>
          <max val="32"/>
          <min val="0"/>
        </scaling>
        <axPos val="l"/>
        <majorGridlines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0" kern="1200" baseline="0"/>
                </a:pPr>
                <a:r>
                  <a:rPr lang="ru-RU"/>
                  <a:t>Ci, моль/л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crossAx val="10"/>
        <majorUnit val="5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2" customWidth="1" min="12" max="12"/>
  </cols>
  <sheetData>
    <row r="1">
      <c r="A1" s="1" t="inlineStr">
        <is>
          <t>Вариант 2. Графики Ci(τ) — оформление как в Kniga1.xlsx (квадраты и звёздочки)</t>
        </is>
      </c>
    </row>
    <row r="2">
      <c r="A2" s="2" t="inlineStr">
        <is>
          <t>Маркеры: CA — квадрат (square), CR — звезда (star), CS — звёздочка-крест (x). Линии сглаженные (smoothMarker), как в образце.</t>
        </is>
      </c>
    </row>
    <row r="4" ht="20" customHeight="1">
      <c r="A4" s="3" t="inlineStr">
        <is>
          <t>РИВ, случай 1: n1=2, n2=1; k1=0,6 л/(моль·мин); k2=0,4 мин⁻¹</t>
        </is>
      </c>
    </row>
    <row r="5" ht="32" customHeight="1">
      <c r="A5" s="4" t="inlineStr">
        <is>
          <t>τ, мин</t>
        </is>
      </c>
      <c r="B5" s="4" t="inlineStr">
        <is>
          <t>X</t>
        </is>
      </c>
      <c r="C5" s="4" t="inlineStr">
        <is>
          <t>CA, моль/л</t>
        </is>
      </c>
      <c r="D5" s="4" t="inlineStr">
        <is>
          <t>Y</t>
        </is>
      </c>
      <c r="E5" s="4" t="inlineStr">
        <is>
          <t>CR, моль/л</t>
        </is>
      </c>
      <c r="F5" s="4" t="inlineStr">
        <is>
          <t>Z</t>
        </is>
      </c>
      <c r="G5" s="4" t="inlineStr">
        <is>
          <t>CS, моль/л</t>
        </is>
      </c>
      <c r="H5" s="4" t="inlineStr">
        <is>
          <t>S (дифф.)</t>
        </is>
      </c>
      <c r="I5" s="4" t="inlineStr">
        <is>
          <t>SR = Y/X</t>
        </is>
      </c>
      <c r="J5" s="4" t="inlineStr">
        <is>
          <t>ΠR, кмоль/ч</t>
        </is>
      </c>
    </row>
    <row r="6">
      <c r="A6" s="5" t="n">
        <v>0</v>
      </c>
      <c r="B6" s="6" t="n">
        <v>0</v>
      </c>
      <c r="C6" s="5" t="n">
        <v>30</v>
      </c>
      <c r="D6" s="6" t="n">
        <v>0</v>
      </c>
      <c r="E6" s="5" t="n">
        <v>0</v>
      </c>
      <c r="F6" s="6" t="n">
        <v>0</v>
      </c>
      <c r="G6" s="5" t="n">
        <v>0</v>
      </c>
      <c r="H6" s="6" t="n">
        <v>1</v>
      </c>
      <c r="I6" s="6" t="n">
        <v>1</v>
      </c>
      <c r="J6" s="5" t="n">
        <v>0</v>
      </c>
    </row>
    <row r="7">
      <c r="A7" s="7" t="n">
        <v>0.2</v>
      </c>
      <c r="B7" s="8" t="n">
        <v>0.1071</v>
      </c>
      <c r="C7" s="7" t="n">
        <v>26.787</v>
      </c>
      <c r="D7" s="8" t="n">
        <v>0.1028</v>
      </c>
      <c r="E7" s="7" t="n">
        <v>3.084</v>
      </c>
      <c r="F7" s="8" t="n">
        <v>0.0043</v>
      </c>
      <c r="G7" s="7" t="n">
        <v>0.129</v>
      </c>
      <c r="H7" s="8" t="n">
        <v>0.9596</v>
      </c>
      <c r="I7" s="8" t="n">
        <v>0.9598506069094305</v>
      </c>
      <c r="J7" s="7" t="n">
        <v>9.252000000000001</v>
      </c>
    </row>
    <row r="8">
      <c r="A8" s="5" t="n">
        <v>0.4</v>
      </c>
      <c r="B8" s="6" t="n">
        <v>0.1935</v>
      </c>
      <c r="C8" s="5" t="n">
        <v>24.195</v>
      </c>
      <c r="D8" s="6" t="n">
        <v>0.1778</v>
      </c>
      <c r="E8" s="5" t="n">
        <v>5.334000000000001</v>
      </c>
      <c r="F8" s="6" t="n">
        <v>0.0157</v>
      </c>
      <c r="G8" s="5" t="n">
        <v>0.471</v>
      </c>
      <c r="H8" s="6" t="n">
        <v>0.9188</v>
      </c>
      <c r="I8" s="6" t="n">
        <v>0.9188630490956072</v>
      </c>
      <c r="J8" s="5" t="n">
        <v>16.002</v>
      </c>
    </row>
    <row r="9">
      <c r="A9" s="7" t="n">
        <v>0.6</v>
      </c>
      <c r="B9" s="8" t="n">
        <v>0.2647</v>
      </c>
      <c r="C9" s="7" t="n">
        <v>22.059</v>
      </c>
      <c r="D9" s="8" t="n">
        <v>0.2325</v>
      </c>
      <c r="E9" s="7" t="n">
        <v>6.975000000000001</v>
      </c>
      <c r="F9" s="8" t="n">
        <v>0.0322</v>
      </c>
      <c r="G9" s="7" t="n">
        <v>0.966</v>
      </c>
      <c r="H9" s="8" t="n">
        <v>0.8782</v>
      </c>
      <c r="I9" s="8" t="n">
        <v>0.8783528522856064</v>
      </c>
      <c r="J9" s="7" t="n">
        <v>20.925</v>
      </c>
    </row>
    <row r="10">
      <c r="A10" s="5" t="n">
        <v>0.8</v>
      </c>
      <c r="B10" s="6" t="n">
        <v>0.3243</v>
      </c>
      <c r="C10" s="5" t="n">
        <v>20.271</v>
      </c>
      <c r="D10" s="6" t="n">
        <v>0.2718</v>
      </c>
      <c r="E10" s="5" t="n">
        <v>8.154</v>
      </c>
      <c r="F10" s="6" t="n">
        <v>0.0525</v>
      </c>
      <c r="G10" s="5" t="n">
        <v>1.575</v>
      </c>
      <c r="H10" s="6" t="n">
        <v>0.8381</v>
      </c>
      <c r="I10" s="6" t="n">
        <v>0.8381128584643849</v>
      </c>
      <c r="J10" s="5" t="n">
        <v>24.462</v>
      </c>
    </row>
    <row r="11">
      <c r="A11" s="7" t="n">
        <v>1</v>
      </c>
      <c r="B11" s="8" t="n">
        <v>0.375</v>
      </c>
      <c r="C11" s="7" t="n">
        <v>18.75</v>
      </c>
      <c r="D11" s="8" t="n">
        <v>0.2996</v>
      </c>
      <c r="E11" s="7" t="n">
        <v>8.988</v>
      </c>
      <c r="F11" s="8" t="n">
        <v>0.07539999999999999</v>
      </c>
      <c r="G11" s="7" t="n">
        <v>2.262</v>
      </c>
      <c r="H11" s="8" t="n">
        <v>0.7989000000000001</v>
      </c>
      <c r="I11" s="8" t="n">
        <v>0.7989333333333333</v>
      </c>
      <c r="J11" s="7" t="n">
        <v>26.964</v>
      </c>
    </row>
    <row r="12">
      <c r="A12" s="5" t="n">
        <v>1.2</v>
      </c>
      <c r="B12" s="6" t="n">
        <v>0.4186</v>
      </c>
      <c r="C12" s="5" t="n">
        <v>17.442</v>
      </c>
      <c r="D12" s="6" t="n">
        <v>0.3184</v>
      </c>
      <c r="E12" s="5" t="n">
        <v>9.552</v>
      </c>
      <c r="F12" s="6" t="n">
        <v>0.1002</v>
      </c>
      <c r="G12" s="5" t="n">
        <v>3.006</v>
      </c>
      <c r="H12" s="6" t="n">
        <v>0.7606000000000001</v>
      </c>
      <c r="I12" s="6" t="n">
        <v>0.7606306736741519</v>
      </c>
      <c r="J12" s="5" t="n">
        <v>28.656</v>
      </c>
    </row>
    <row r="13">
      <c r="A13" s="7" t="n">
        <v>1.4</v>
      </c>
      <c r="B13" s="8" t="n">
        <v>0.4565</v>
      </c>
      <c r="C13" s="7" t="n">
        <v>16.305</v>
      </c>
      <c r="D13" s="8" t="n">
        <v>0.3303</v>
      </c>
      <c r="E13" s="7" t="n">
        <v>9.908999999999999</v>
      </c>
      <c r="F13" s="8" t="n">
        <v>0.1262</v>
      </c>
      <c r="G13" s="7" t="n">
        <v>3.786</v>
      </c>
      <c r="H13" s="8" t="n">
        <v>0.7236</v>
      </c>
      <c r="I13" s="8" t="n">
        <v>0.7235487404162102</v>
      </c>
      <c r="J13" s="7" t="n">
        <v>29.727</v>
      </c>
    </row>
    <row r="14">
      <c r="A14" s="5" t="n">
        <v>1.6</v>
      </c>
      <c r="B14" s="6" t="n">
        <v>0.4898</v>
      </c>
      <c r="C14" s="5" t="n">
        <v>15.306</v>
      </c>
      <c r="D14" s="6" t="n">
        <v>0.3369</v>
      </c>
      <c r="E14" s="5" t="n">
        <v>10.107</v>
      </c>
      <c r="F14" s="6" t="n">
        <v>0.1529</v>
      </c>
      <c r="G14" s="5" t="n">
        <v>4.587000000000001</v>
      </c>
      <c r="H14" s="6" t="n">
        <v>0.6878</v>
      </c>
      <c r="I14" s="6" t="n">
        <v>0.6878317680685994</v>
      </c>
      <c r="J14" s="5" t="n">
        <v>30.321</v>
      </c>
    </row>
    <row r="15">
      <c r="A15" s="7" t="n">
        <v>1.8</v>
      </c>
      <c r="B15" s="8" t="n">
        <v>0.5192</v>
      </c>
      <c r="C15" s="7" t="n">
        <v>14.424</v>
      </c>
      <c r="D15" s="8" t="n">
        <v>0.3393</v>
      </c>
      <c r="E15" s="7" t="n">
        <v>10.179</v>
      </c>
      <c r="F15" s="8" t="n">
        <v>0.18</v>
      </c>
      <c r="G15" s="7" t="n">
        <v>5.399999999999999</v>
      </c>
      <c r="H15" s="8" t="n">
        <v>0.6534</v>
      </c>
      <c r="I15" s="8" t="n">
        <v>0.6535053929121726</v>
      </c>
      <c r="J15" s="7" t="n">
        <v>30.537</v>
      </c>
    </row>
    <row r="16">
      <c r="A16" s="5" t="n">
        <v>1.85</v>
      </c>
      <c r="B16" s="6" t="n">
        <v>0.5261</v>
      </c>
      <c r="C16" s="5" t="n">
        <v>14.217</v>
      </c>
      <c r="D16" s="6" t="n">
        <v>0.3393</v>
      </c>
      <c r="E16" s="5" t="n">
        <v>10.179</v>
      </c>
      <c r="F16" s="6" t="n">
        <v>0.1868</v>
      </c>
      <c r="G16" s="5" t="n">
        <v>5.604</v>
      </c>
      <c r="H16" s="6" t="n">
        <v>0.645</v>
      </c>
      <c r="I16" s="6" t="n">
        <v>0.6449344231134765</v>
      </c>
      <c r="J16" s="5" t="n">
        <v>30.537</v>
      </c>
    </row>
    <row r="17">
      <c r="A17" s="7" t="n">
        <v>2</v>
      </c>
      <c r="B17" s="8" t="n">
        <v>0.5455</v>
      </c>
      <c r="C17" s="7" t="n">
        <v>13.635</v>
      </c>
      <c r="D17" s="8" t="n">
        <v>0.3384</v>
      </c>
      <c r="E17" s="7" t="n">
        <v>10.152</v>
      </c>
      <c r="F17" s="8" t="n">
        <v>0.2071</v>
      </c>
      <c r="G17" s="7" t="n">
        <v>6.213</v>
      </c>
      <c r="H17" s="8" t="n">
        <v>0.6203</v>
      </c>
      <c r="I17" s="8" t="n">
        <v>0.6203483043079743</v>
      </c>
      <c r="J17" s="7" t="n">
        <v>30.456</v>
      </c>
    </row>
    <row r="21" ht="20" customHeight="1">
      <c r="A21" s="3" t="inlineStr">
        <is>
          <t>РИС-н, случай 1: n1=2, n2=1; k1=0,6 л/(моль·мин); k2=0,4 мин⁻¹ (профиль по τ)</t>
        </is>
      </c>
    </row>
    <row r="22" ht="32" customHeight="1">
      <c r="A22" s="4" t="inlineStr">
        <is>
          <t>τ, мин</t>
        </is>
      </c>
      <c r="B22" s="4" t="inlineStr">
        <is>
          <t>X</t>
        </is>
      </c>
      <c r="C22" s="4" t="inlineStr">
        <is>
          <t>CA, моль/л</t>
        </is>
      </c>
      <c r="D22" s="4" t="inlineStr">
        <is>
          <t>Y</t>
        </is>
      </c>
      <c r="E22" s="4" t="inlineStr">
        <is>
          <t>CR, моль/л</t>
        </is>
      </c>
      <c r="F22" s="4" t="inlineStr">
        <is>
          <t>Z</t>
        </is>
      </c>
      <c r="G22" s="4" t="inlineStr">
        <is>
          <t>CS, моль/л</t>
        </is>
      </c>
      <c r="H22" s="4" t="inlineStr">
        <is>
          <t>S (дифф.)</t>
        </is>
      </c>
      <c r="I22" s="4" t="inlineStr">
        <is>
          <t>SR = Y/X</t>
        </is>
      </c>
      <c r="J22" s="4" t="inlineStr">
        <is>
          <t>ΠR, кмоль/ч</t>
        </is>
      </c>
    </row>
    <row r="23">
      <c r="A23" s="5" t="n">
        <v>0</v>
      </c>
      <c r="B23" s="6" t="n">
        <v>0</v>
      </c>
      <c r="C23" s="5" t="n">
        <v>30</v>
      </c>
      <c r="D23" s="6" t="n">
        <v>0</v>
      </c>
      <c r="E23" s="5" t="n">
        <v>0</v>
      </c>
      <c r="F23" s="6" t="n">
        <v>0</v>
      </c>
      <c r="G23" s="5" t="n">
        <v>0</v>
      </c>
      <c r="H23" s="6" t="n">
        <v>1</v>
      </c>
      <c r="I23" s="6" t="n">
        <v>1</v>
      </c>
      <c r="J23" s="5" t="n">
        <v>0</v>
      </c>
    </row>
    <row r="24">
      <c r="A24" s="7" t="n">
        <v>0.2</v>
      </c>
      <c r="B24" s="8" t="n">
        <v>0.0977</v>
      </c>
      <c r="C24" s="7" t="n">
        <v>27.069</v>
      </c>
      <c r="D24" s="8" t="n">
        <v>0.0905</v>
      </c>
      <c r="E24" s="7" t="n">
        <v>2.715</v>
      </c>
      <c r="F24" s="8" t="n">
        <v>0.0072</v>
      </c>
      <c r="G24" s="7" t="n">
        <v>0.216</v>
      </c>
      <c r="H24" s="8" t="n">
        <v>0.9258999999999999</v>
      </c>
      <c r="I24" s="8" t="n">
        <v>0.9263050153531218</v>
      </c>
      <c r="J24" s="7" t="n">
        <v>8.145</v>
      </c>
    </row>
    <row r="25">
      <c r="A25" s="5" t="n">
        <v>0.4</v>
      </c>
      <c r="B25" s="6" t="n">
        <v>0.1667</v>
      </c>
      <c r="C25" s="5" t="n">
        <v>24.999</v>
      </c>
      <c r="D25" s="6" t="n">
        <v>0.1437</v>
      </c>
      <c r="E25" s="5" t="n">
        <v>4.311</v>
      </c>
      <c r="F25" s="6" t="n">
        <v>0.023</v>
      </c>
      <c r="G25" s="5" t="n">
        <v>0.6899999999999999</v>
      </c>
      <c r="H25" s="6" t="n">
        <v>0.8621</v>
      </c>
      <c r="I25" s="6" t="n">
        <v>0.8620275944811038</v>
      </c>
      <c r="J25" s="5" t="n">
        <v>12.933</v>
      </c>
    </row>
    <row r="26">
      <c r="A26" s="7" t="n">
        <v>0.6</v>
      </c>
      <c r="B26" s="8" t="n">
        <v>0.2194</v>
      </c>
      <c r="C26" s="7" t="n">
        <v>23.418</v>
      </c>
      <c r="D26" s="8" t="n">
        <v>0.1769</v>
      </c>
      <c r="E26" s="7" t="n">
        <v>5.307</v>
      </c>
      <c r="F26" s="8" t="n">
        <v>0.0425</v>
      </c>
      <c r="G26" s="7" t="n">
        <v>1.275</v>
      </c>
      <c r="H26" s="8" t="n">
        <v>0.8065</v>
      </c>
      <c r="I26" s="8" t="n">
        <v>0.8062898814949863</v>
      </c>
      <c r="J26" s="7" t="n">
        <v>15.921</v>
      </c>
    </row>
    <row r="27">
      <c r="A27" s="5" t="n">
        <v>0.8</v>
      </c>
      <c r="B27" s="6" t="n">
        <v>0.2617</v>
      </c>
      <c r="C27" s="5" t="n">
        <v>22.149</v>
      </c>
      <c r="D27" s="6" t="n">
        <v>0.1982</v>
      </c>
      <c r="E27" s="5" t="n">
        <v>5.946</v>
      </c>
      <c r="F27" s="6" t="n">
        <v>0.0634</v>
      </c>
      <c r="G27" s="5" t="n">
        <v>1.902</v>
      </c>
      <c r="H27" s="6" t="n">
        <v>0.7576000000000001</v>
      </c>
      <c r="I27" s="6" t="n">
        <v>0.757355750859763</v>
      </c>
      <c r="J27" s="5" t="n">
        <v>17.838</v>
      </c>
    </row>
    <row r="28">
      <c r="A28" s="7" t="n">
        <v>1</v>
      </c>
      <c r="B28" s="8" t="n">
        <v>0.2967</v>
      </c>
      <c r="C28" s="7" t="n">
        <v>21.099</v>
      </c>
      <c r="D28" s="8" t="n">
        <v>0.212</v>
      </c>
      <c r="E28" s="7" t="n">
        <v>6.359999999999999</v>
      </c>
      <c r="F28" s="8" t="n">
        <v>0.0848</v>
      </c>
      <c r="G28" s="7" t="n">
        <v>2.544</v>
      </c>
      <c r="H28" s="8" t="n">
        <v>0.7143</v>
      </c>
      <c r="I28" s="8" t="n">
        <v>0.7145264577013818</v>
      </c>
      <c r="J28" s="7" t="n">
        <v>19.08</v>
      </c>
    </row>
    <row r="29">
      <c r="A29" s="5" t="n">
        <v>1.2</v>
      </c>
      <c r="B29" s="6" t="n">
        <v>0.3265</v>
      </c>
      <c r="C29" s="5" t="n">
        <v>20.205</v>
      </c>
      <c r="D29" s="6" t="n">
        <v>0.2206</v>
      </c>
      <c r="E29" s="5" t="n">
        <v>6.617999999999999</v>
      </c>
      <c r="F29" s="6" t="n">
        <v>0.1059</v>
      </c>
      <c r="G29" s="5" t="n">
        <v>3.177</v>
      </c>
      <c r="H29" s="6" t="n">
        <v>0.6757</v>
      </c>
      <c r="I29" s="6" t="n">
        <v>0.6756508422664624</v>
      </c>
      <c r="J29" s="5" t="n">
        <v>19.854</v>
      </c>
    </row>
    <row r="30">
      <c r="A30" s="7" t="n">
        <v>1.4</v>
      </c>
      <c r="B30" s="8" t="n">
        <v>0.3523</v>
      </c>
      <c r="C30" s="7" t="n">
        <v>19.431</v>
      </c>
      <c r="D30" s="8" t="n">
        <v>0.2259</v>
      </c>
      <c r="E30" s="7" t="n">
        <v>6.776999999999999</v>
      </c>
      <c r="F30" s="8" t="n">
        <v>0.1265</v>
      </c>
      <c r="G30" s="7" t="n">
        <v>3.795</v>
      </c>
      <c r="H30" s="8" t="n">
        <v>0.641</v>
      </c>
      <c r="I30" s="8" t="n">
        <v>0.6412148736871984</v>
      </c>
      <c r="J30" s="7" t="n">
        <v>20.331</v>
      </c>
    </row>
    <row r="31">
      <c r="A31" s="5" t="n">
        <v>1.6</v>
      </c>
      <c r="B31" s="6" t="n">
        <v>0.375</v>
      </c>
      <c r="C31" s="5" t="n">
        <v>18.75</v>
      </c>
      <c r="D31" s="6" t="n">
        <v>0.2287</v>
      </c>
      <c r="E31" s="5" t="n">
        <v>6.861</v>
      </c>
      <c r="F31" s="6" t="n">
        <v>0.1463</v>
      </c>
      <c r="G31" s="5" t="n">
        <v>4.389</v>
      </c>
      <c r="H31" s="6" t="n">
        <v>0.6098</v>
      </c>
      <c r="I31" s="6" t="n">
        <v>0.6098666666666667</v>
      </c>
      <c r="J31" s="5" t="n">
        <v>20.583</v>
      </c>
    </row>
    <row r="32">
      <c r="A32" s="7" t="n">
        <v>1.8</v>
      </c>
      <c r="B32" s="8" t="n">
        <v>0.3951</v>
      </c>
      <c r="C32" s="7" t="n">
        <v>18.147</v>
      </c>
      <c r="D32" s="8" t="n">
        <v>0.2297</v>
      </c>
      <c r="E32" s="7" t="n">
        <v>6.891</v>
      </c>
      <c r="F32" s="8" t="n">
        <v>0.1654</v>
      </c>
      <c r="G32" s="7" t="n">
        <v>4.962</v>
      </c>
      <c r="H32" s="8" t="n">
        <v>0.5814</v>
      </c>
      <c r="I32" s="8" t="n">
        <v>0.5813718046064287</v>
      </c>
      <c r="J32" s="7" t="n">
        <v>20.673</v>
      </c>
    </row>
    <row r="33">
      <c r="A33" s="5" t="n">
        <v>2</v>
      </c>
      <c r="B33" s="6" t="n">
        <v>0.4132</v>
      </c>
      <c r="C33" s="5" t="n">
        <v>17.604</v>
      </c>
      <c r="D33" s="6" t="n">
        <v>0.2296</v>
      </c>
      <c r="E33" s="5" t="n">
        <v>6.888</v>
      </c>
      <c r="F33" s="6" t="n">
        <v>0.1836</v>
      </c>
      <c r="G33" s="5" t="n">
        <v>5.508</v>
      </c>
      <c r="H33" s="6" t="n">
        <v>0.5556</v>
      </c>
      <c r="I33" s="6" t="n">
        <v>0.5556631171345595</v>
      </c>
      <c r="J33" s="5" t="n">
        <v>20.664</v>
      </c>
    </row>
    <row r="36" ht="36" customHeight="1">
      <c r="A36" s="9" t="inlineStr">
        <is>
          <t>Примечание: X, Y, Z — с экрана программы (безразмерные, C0=1). CA = 30·(1−X), CR = 30·Y, CS = 30·Z, моль/л. ΠR = v0·CR = 3·CR, кмоль/ч. Для РИС-н на графике — расчёт при тех же τ, на τ=2 подставлены значения с экрана (X=0,4132; Y=0,2296; Z=0,1836).</t>
        </is>
      </c>
    </row>
    <row r="37"/>
    <row r="38"/>
  </sheetData>
  <mergeCells count="5">
    <mergeCell ref="A1:J1"/>
    <mergeCell ref="A36:J38"/>
    <mergeCell ref="A21:J21"/>
    <mergeCell ref="A4:J4"/>
    <mergeCell ref="A2:J2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4" customWidth="1" min="7" max="7"/>
    <col width="12" customWidth="1" min="8" max="8"/>
    <col width="12" customWidth="1" min="9" max="9"/>
    <col width="14" customWidth="1" min="10" max="10"/>
  </cols>
  <sheetData>
    <row r="1" ht="24" customHeight="1">
      <c r="A1" s="1" t="inlineStr">
        <is>
          <t>Результаты моделирования. Вариант 2. CA0 = 30 моль/л; V = 100 л; v0 = 50 л/мин; τ = V/v0 = 2 мин; T = 150 °C</t>
        </is>
      </c>
    </row>
    <row r="3" ht="20" customHeight="1">
      <c r="A3" s="3" t="inlineStr">
        <is>
          <t>РИВ, случай 1: n1=2, n2=1; k1=0,6 л/(моль·мин); k2=0,4 мин⁻¹</t>
        </is>
      </c>
    </row>
    <row r="4" ht="32" customHeight="1">
      <c r="A4" s="4" t="inlineStr">
        <is>
          <t>τ, мин</t>
        </is>
      </c>
      <c r="B4" s="4" t="inlineStr">
        <is>
          <t>X</t>
        </is>
      </c>
      <c r="C4" s="4" t="inlineStr">
        <is>
          <t>CA, моль/л</t>
        </is>
      </c>
      <c r="D4" s="4" t="inlineStr">
        <is>
          <t>Y</t>
        </is>
      </c>
      <c r="E4" s="4" t="inlineStr">
        <is>
          <t>CR, моль/л</t>
        </is>
      </c>
      <c r="F4" s="4" t="inlineStr">
        <is>
          <t>Z</t>
        </is>
      </c>
      <c r="G4" s="4" t="inlineStr">
        <is>
          <t>CS, моль/л</t>
        </is>
      </c>
      <c r="H4" s="4" t="inlineStr">
        <is>
          <t>S (дифф.)</t>
        </is>
      </c>
      <c r="I4" s="4" t="inlineStr">
        <is>
          <t>SR = Y/X</t>
        </is>
      </c>
      <c r="J4" s="4" t="inlineStr">
        <is>
          <t>ΠR, кмоль/ч</t>
        </is>
      </c>
    </row>
    <row r="5">
      <c r="A5" s="5" t="n">
        <v>0</v>
      </c>
      <c r="B5" s="6" t="n">
        <v>0</v>
      </c>
      <c r="C5" s="5" t="n">
        <v>30</v>
      </c>
      <c r="D5" s="6" t="n">
        <v>0</v>
      </c>
      <c r="E5" s="5" t="n">
        <v>0</v>
      </c>
      <c r="F5" s="6" t="n">
        <v>0</v>
      </c>
      <c r="G5" s="5" t="n">
        <v>0</v>
      </c>
      <c r="H5" s="6" t="n">
        <v>1</v>
      </c>
      <c r="I5" s="6" t="n">
        <v>1</v>
      </c>
      <c r="J5" s="5" t="n">
        <v>0</v>
      </c>
    </row>
    <row r="6">
      <c r="A6" s="7" t="n">
        <v>0.2</v>
      </c>
      <c r="B6" s="8" t="n">
        <v>0.1071</v>
      </c>
      <c r="C6" s="7" t="n">
        <v>26.787</v>
      </c>
      <c r="D6" s="8" t="n">
        <v>0.1028</v>
      </c>
      <c r="E6" s="7" t="n">
        <v>3.084</v>
      </c>
      <c r="F6" s="8" t="n">
        <v>0.0043</v>
      </c>
      <c r="G6" s="7" t="n">
        <v>0.129</v>
      </c>
      <c r="H6" s="8" t="n">
        <v>0.9596</v>
      </c>
      <c r="I6" s="8" t="n">
        <v>0.9598506069094305</v>
      </c>
      <c r="J6" s="7" t="n">
        <v>9.252000000000001</v>
      </c>
    </row>
    <row r="7">
      <c r="A7" s="5" t="n">
        <v>0.4</v>
      </c>
      <c r="B7" s="6" t="n">
        <v>0.1935</v>
      </c>
      <c r="C7" s="5" t="n">
        <v>24.195</v>
      </c>
      <c r="D7" s="6" t="n">
        <v>0.1778</v>
      </c>
      <c r="E7" s="5" t="n">
        <v>5.334000000000001</v>
      </c>
      <c r="F7" s="6" t="n">
        <v>0.0157</v>
      </c>
      <c r="G7" s="5" t="n">
        <v>0.471</v>
      </c>
      <c r="H7" s="6" t="n">
        <v>0.9188</v>
      </c>
      <c r="I7" s="6" t="n">
        <v>0.9188630490956072</v>
      </c>
      <c r="J7" s="5" t="n">
        <v>16.002</v>
      </c>
    </row>
    <row r="8">
      <c r="A8" s="7" t="n">
        <v>0.6</v>
      </c>
      <c r="B8" s="8" t="n">
        <v>0.2647</v>
      </c>
      <c r="C8" s="7" t="n">
        <v>22.059</v>
      </c>
      <c r="D8" s="8" t="n">
        <v>0.2325</v>
      </c>
      <c r="E8" s="7" t="n">
        <v>6.975000000000001</v>
      </c>
      <c r="F8" s="8" t="n">
        <v>0.0322</v>
      </c>
      <c r="G8" s="7" t="n">
        <v>0.966</v>
      </c>
      <c r="H8" s="8" t="n">
        <v>0.8782</v>
      </c>
      <c r="I8" s="8" t="n">
        <v>0.8783528522856064</v>
      </c>
      <c r="J8" s="7" t="n">
        <v>20.925</v>
      </c>
    </row>
    <row r="9">
      <c r="A9" s="5" t="n">
        <v>0.8</v>
      </c>
      <c r="B9" s="6" t="n">
        <v>0.3243</v>
      </c>
      <c r="C9" s="5" t="n">
        <v>20.271</v>
      </c>
      <c r="D9" s="6" t="n">
        <v>0.2718</v>
      </c>
      <c r="E9" s="5" t="n">
        <v>8.154</v>
      </c>
      <c r="F9" s="6" t="n">
        <v>0.0525</v>
      </c>
      <c r="G9" s="5" t="n">
        <v>1.575</v>
      </c>
      <c r="H9" s="6" t="n">
        <v>0.8381</v>
      </c>
      <c r="I9" s="6" t="n">
        <v>0.8381128584643849</v>
      </c>
      <c r="J9" s="5" t="n">
        <v>24.462</v>
      </c>
    </row>
    <row r="10">
      <c r="A10" s="7" t="n">
        <v>1</v>
      </c>
      <c r="B10" s="8" t="n">
        <v>0.375</v>
      </c>
      <c r="C10" s="7" t="n">
        <v>18.75</v>
      </c>
      <c r="D10" s="8" t="n">
        <v>0.2996</v>
      </c>
      <c r="E10" s="7" t="n">
        <v>8.988</v>
      </c>
      <c r="F10" s="8" t="n">
        <v>0.07539999999999999</v>
      </c>
      <c r="G10" s="7" t="n">
        <v>2.262</v>
      </c>
      <c r="H10" s="8" t="n">
        <v>0.7989000000000001</v>
      </c>
      <c r="I10" s="8" t="n">
        <v>0.7989333333333333</v>
      </c>
      <c r="J10" s="7" t="n">
        <v>26.964</v>
      </c>
    </row>
    <row r="11">
      <c r="A11" s="5" t="n">
        <v>1.2</v>
      </c>
      <c r="B11" s="6" t="n">
        <v>0.4186</v>
      </c>
      <c r="C11" s="5" t="n">
        <v>17.442</v>
      </c>
      <c r="D11" s="6" t="n">
        <v>0.3184</v>
      </c>
      <c r="E11" s="5" t="n">
        <v>9.552</v>
      </c>
      <c r="F11" s="6" t="n">
        <v>0.1002</v>
      </c>
      <c r="G11" s="5" t="n">
        <v>3.006</v>
      </c>
      <c r="H11" s="6" t="n">
        <v>0.7606000000000001</v>
      </c>
      <c r="I11" s="6" t="n">
        <v>0.7606306736741519</v>
      </c>
      <c r="J11" s="5" t="n">
        <v>28.656</v>
      </c>
    </row>
    <row r="12">
      <c r="A12" s="7" t="n">
        <v>1.4</v>
      </c>
      <c r="B12" s="8" t="n">
        <v>0.4565</v>
      </c>
      <c r="C12" s="7" t="n">
        <v>16.305</v>
      </c>
      <c r="D12" s="8" t="n">
        <v>0.3303</v>
      </c>
      <c r="E12" s="7" t="n">
        <v>9.908999999999999</v>
      </c>
      <c r="F12" s="8" t="n">
        <v>0.1262</v>
      </c>
      <c r="G12" s="7" t="n">
        <v>3.786</v>
      </c>
      <c r="H12" s="8" t="n">
        <v>0.7236</v>
      </c>
      <c r="I12" s="8" t="n">
        <v>0.7235487404162102</v>
      </c>
      <c r="J12" s="7" t="n">
        <v>29.727</v>
      </c>
    </row>
    <row r="13">
      <c r="A13" s="5" t="n">
        <v>1.6</v>
      </c>
      <c r="B13" s="6" t="n">
        <v>0.4898</v>
      </c>
      <c r="C13" s="5" t="n">
        <v>15.306</v>
      </c>
      <c r="D13" s="6" t="n">
        <v>0.3369</v>
      </c>
      <c r="E13" s="5" t="n">
        <v>10.107</v>
      </c>
      <c r="F13" s="6" t="n">
        <v>0.1529</v>
      </c>
      <c r="G13" s="5" t="n">
        <v>4.587000000000001</v>
      </c>
      <c r="H13" s="6" t="n">
        <v>0.6878</v>
      </c>
      <c r="I13" s="6" t="n">
        <v>0.6878317680685994</v>
      </c>
      <c r="J13" s="5" t="n">
        <v>30.321</v>
      </c>
    </row>
    <row r="14">
      <c r="A14" s="7" t="n">
        <v>1.8</v>
      </c>
      <c r="B14" s="8" t="n">
        <v>0.5192</v>
      </c>
      <c r="C14" s="7" t="n">
        <v>14.424</v>
      </c>
      <c r="D14" s="8" t="n">
        <v>0.3393</v>
      </c>
      <c r="E14" s="7" t="n">
        <v>10.179</v>
      </c>
      <c r="F14" s="8" t="n">
        <v>0.18</v>
      </c>
      <c r="G14" s="7" t="n">
        <v>5.399999999999999</v>
      </c>
      <c r="H14" s="8" t="n">
        <v>0.6534</v>
      </c>
      <c r="I14" s="8" t="n">
        <v>0.6535053929121726</v>
      </c>
      <c r="J14" s="7" t="n">
        <v>30.537</v>
      </c>
    </row>
    <row r="15">
      <c r="A15" s="5" t="n">
        <v>1.85</v>
      </c>
      <c r="B15" s="6" t="n">
        <v>0.5261</v>
      </c>
      <c r="C15" s="5" t="n">
        <v>14.217</v>
      </c>
      <c r="D15" s="6" t="n">
        <v>0.3393</v>
      </c>
      <c r="E15" s="5" t="n">
        <v>10.179</v>
      </c>
      <c r="F15" s="6" t="n">
        <v>0.1868</v>
      </c>
      <c r="G15" s="5" t="n">
        <v>5.604</v>
      </c>
      <c r="H15" s="6" t="n">
        <v>0.645</v>
      </c>
      <c r="I15" s="6" t="n">
        <v>0.6449344231134765</v>
      </c>
      <c r="J15" s="5" t="n">
        <v>30.537</v>
      </c>
    </row>
    <row r="16">
      <c r="A16" s="7" t="n">
        <v>2</v>
      </c>
      <c r="B16" s="8" t="n">
        <v>0.5455</v>
      </c>
      <c r="C16" s="7" t="n">
        <v>13.635</v>
      </c>
      <c r="D16" s="8" t="n">
        <v>0.3384</v>
      </c>
      <c r="E16" s="7" t="n">
        <v>10.152</v>
      </c>
      <c r="F16" s="8" t="n">
        <v>0.2071</v>
      </c>
      <c r="G16" s="7" t="n">
        <v>6.213</v>
      </c>
      <c r="H16" s="8" t="n">
        <v>0.6203</v>
      </c>
      <c r="I16" s="8" t="n">
        <v>0.6203483043079743</v>
      </c>
      <c r="J16" s="7" t="n">
        <v>30.456</v>
      </c>
    </row>
    <row r="20" ht="20" customHeight="1">
      <c r="A20" s="3" t="inlineStr">
        <is>
          <t>РИС-н, случай 1: n1=2, n2=1; k1=0,6 л/(моль·мин); k2=0,4 мин⁻¹</t>
        </is>
      </c>
    </row>
    <row r="21" ht="32" customHeight="1">
      <c r="A21" s="4" t="inlineStr">
        <is>
          <t>τ, мин</t>
        </is>
      </c>
      <c r="B21" s="4" t="inlineStr">
        <is>
          <t>X</t>
        </is>
      </c>
      <c r="C21" s="4" t="inlineStr">
        <is>
          <t>CA, моль/л</t>
        </is>
      </c>
      <c r="D21" s="4" t="inlineStr">
        <is>
          <t>Y</t>
        </is>
      </c>
      <c r="E21" s="4" t="inlineStr">
        <is>
          <t>CR, моль/л</t>
        </is>
      </c>
      <c r="F21" s="4" t="inlineStr">
        <is>
          <t>Z</t>
        </is>
      </c>
      <c r="G21" s="4" t="inlineStr">
        <is>
          <t>CS, моль/л</t>
        </is>
      </c>
      <c r="H21" s="4" t="inlineStr">
        <is>
          <t>S (дифф.)</t>
        </is>
      </c>
      <c r="I21" s="4" t="inlineStr">
        <is>
          <t>SR = Y/X</t>
        </is>
      </c>
      <c r="J21" s="4" t="inlineStr">
        <is>
          <t>ΠR, кмоль/ч</t>
        </is>
      </c>
    </row>
    <row r="22">
      <c r="A22" s="5" t="n">
        <v>0</v>
      </c>
      <c r="B22" s="6" t="n">
        <v>0</v>
      </c>
      <c r="C22" s="5" t="n">
        <v>30</v>
      </c>
      <c r="D22" s="6" t="n">
        <v>0</v>
      </c>
      <c r="E22" s="5" t="n">
        <v>0</v>
      </c>
      <c r="F22" s="6" t="n">
        <v>0</v>
      </c>
      <c r="G22" s="5" t="n">
        <v>0</v>
      </c>
      <c r="H22" s="6" t="n">
        <v>1</v>
      </c>
      <c r="I22" s="6" t="n">
        <v>1</v>
      </c>
      <c r="J22" s="5" t="n">
        <v>0</v>
      </c>
    </row>
    <row r="23">
      <c r="A23" s="7" t="n">
        <v>0.2</v>
      </c>
      <c r="B23" s="8" t="n">
        <v>0.0977</v>
      </c>
      <c r="C23" s="7" t="n">
        <v>27.069</v>
      </c>
      <c r="D23" s="8" t="n">
        <v>0.0905</v>
      </c>
      <c r="E23" s="7" t="n">
        <v>2.715</v>
      </c>
      <c r="F23" s="8" t="n">
        <v>0.0072</v>
      </c>
      <c r="G23" s="7" t="n">
        <v>0.216</v>
      </c>
      <c r="H23" s="8" t="n">
        <v>0.9258999999999999</v>
      </c>
      <c r="I23" s="8" t="n">
        <v>0.9263050153531218</v>
      </c>
      <c r="J23" s="7" t="n">
        <v>8.145</v>
      </c>
    </row>
    <row r="24">
      <c r="A24" s="5" t="n">
        <v>0.4</v>
      </c>
      <c r="B24" s="6" t="n">
        <v>0.1667</v>
      </c>
      <c r="C24" s="5" t="n">
        <v>24.999</v>
      </c>
      <c r="D24" s="6" t="n">
        <v>0.1437</v>
      </c>
      <c r="E24" s="5" t="n">
        <v>4.311</v>
      </c>
      <c r="F24" s="6" t="n">
        <v>0.023</v>
      </c>
      <c r="G24" s="5" t="n">
        <v>0.6899999999999999</v>
      </c>
      <c r="H24" s="6" t="n">
        <v>0.8621</v>
      </c>
      <c r="I24" s="6" t="n">
        <v>0.8620275944811038</v>
      </c>
      <c r="J24" s="5" t="n">
        <v>12.933</v>
      </c>
    </row>
    <row r="25">
      <c r="A25" s="7" t="n">
        <v>0.6</v>
      </c>
      <c r="B25" s="8" t="n">
        <v>0.2194</v>
      </c>
      <c r="C25" s="7" t="n">
        <v>23.418</v>
      </c>
      <c r="D25" s="8" t="n">
        <v>0.1769</v>
      </c>
      <c r="E25" s="7" t="n">
        <v>5.307</v>
      </c>
      <c r="F25" s="8" t="n">
        <v>0.0425</v>
      </c>
      <c r="G25" s="7" t="n">
        <v>1.275</v>
      </c>
      <c r="H25" s="8" t="n">
        <v>0.8065</v>
      </c>
      <c r="I25" s="8" t="n">
        <v>0.8062898814949863</v>
      </c>
      <c r="J25" s="7" t="n">
        <v>15.921</v>
      </c>
    </row>
    <row r="26">
      <c r="A26" s="5" t="n">
        <v>0.8</v>
      </c>
      <c r="B26" s="6" t="n">
        <v>0.2617</v>
      </c>
      <c r="C26" s="5" t="n">
        <v>22.149</v>
      </c>
      <c r="D26" s="6" t="n">
        <v>0.1982</v>
      </c>
      <c r="E26" s="5" t="n">
        <v>5.946</v>
      </c>
      <c r="F26" s="6" t="n">
        <v>0.0634</v>
      </c>
      <c r="G26" s="5" t="n">
        <v>1.902</v>
      </c>
      <c r="H26" s="6" t="n">
        <v>0.7576000000000001</v>
      </c>
      <c r="I26" s="6" t="n">
        <v>0.757355750859763</v>
      </c>
      <c r="J26" s="5" t="n">
        <v>17.838</v>
      </c>
    </row>
    <row r="27">
      <c r="A27" s="7" t="n">
        <v>1</v>
      </c>
      <c r="B27" s="8" t="n">
        <v>0.2967</v>
      </c>
      <c r="C27" s="7" t="n">
        <v>21.099</v>
      </c>
      <c r="D27" s="8" t="n">
        <v>0.212</v>
      </c>
      <c r="E27" s="7" t="n">
        <v>6.359999999999999</v>
      </c>
      <c r="F27" s="8" t="n">
        <v>0.0848</v>
      </c>
      <c r="G27" s="7" t="n">
        <v>2.544</v>
      </c>
      <c r="H27" s="8" t="n">
        <v>0.7143</v>
      </c>
      <c r="I27" s="8" t="n">
        <v>0.7145264577013818</v>
      </c>
      <c r="J27" s="7" t="n">
        <v>19.08</v>
      </c>
    </row>
    <row r="28">
      <c r="A28" s="5" t="n">
        <v>1.2</v>
      </c>
      <c r="B28" s="6" t="n">
        <v>0.3265</v>
      </c>
      <c r="C28" s="5" t="n">
        <v>20.205</v>
      </c>
      <c r="D28" s="6" t="n">
        <v>0.2206</v>
      </c>
      <c r="E28" s="5" t="n">
        <v>6.617999999999999</v>
      </c>
      <c r="F28" s="6" t="n">
        <v>0.1059</v>
      </c>
      <c r="G28" s="5" t="n">
        <v>3.177</v>
      </c>
      <c r="H28" s="6" t="n">
        <v>0.6757</v>
      </c>
      <c r="I28" s="6" t="n">
        <v>0.6756508422664624</v>
      </c>
      <c r="J28" s="5" t="n">
        <v>19.854</v>
      </c>
    </row>
    <row r="29">
      <c r="A29" s="7" t="n">
        <v>1.4</v>
      </c>
      <c r="B29" s="8" t="n">
        <v>0.3523</v>
      </c>
      <c r="C29" s="7" t="n">
        <v>19.431</v>
      </c>
      <c r="D29" s="8" t="n">
        <v>0.2259</v>
      </c>
      <c r="E29" s="7" t="n">
        <v>6.776999999999999</v>
      </c>
      <c r="F29" s="8" t="n">
        <v>0.1265</v>
      </c>
      <c r="G29" s="7" t="n">
        <v>3.795</v>
      </c>
      <c r="H29" s="8" t="n">
        <v>0.641</v>
      </c>
      <c r="I29" s="8" t="n">
        <v>0.6412148736871984</v>
      </c>
      <c r="J29" s="7" t="n">
        <v>20.331</v>
      </c>
    </row>
    <row r="30">
      <c r="A30" s="5" t="n">
        <v>1.6</v>
      </c>
      <c r="B30" s="6" t="n">
        <v>0.375</v>
      </c>
      <c r="C30" s="5" t="n">
        <v>18.75</v>
      </c>
      <c r="D30" s="6" t="n">
        <v>0.2287</v>
      </c>
      <c r="E30" s="5" t="n">
        <v>6.861</v>
      </c>
      <c r="F30" s="6" t="n">
        <v>0.1463</v>
      </c>
      <c r="G30" s="5" t="n">
        <v>4.389</v>
      </c>
      <c r="H30" s="6" t="n">
        <v>0.6098</v>
      </c>
      <c r="I30" s="6" t="n">
        <v>0.6098666666666667</v>
      </c>
      <c r="J30" s="5" t="n">
        <v>20.583</v>
      </c>
    </row>
    <row r="31">
      <c r="A31" s="7" t="n">
        <v>1.8</v>
      </c>
      <c r="B31" s="8" t="n">
        <v>0.3951</v>
      </c>
      <c r="C31" s="7" t="n">
        <v>18.147</v>
      </c>
      <c r="D31" s="8" t="n">
        <v>0.2297</v>
      </c>
      <c r="E31" s="7" t="n">
        <v>6.891</v>
      </c>
      <c r="F31" s="8" t="n">
        <v>0.1654</v>
      </c>
      <c r="G31" s="7" t="n">
        <v>4.962</v>
      </c>
      <c r="H31" s="8" t="n">
        <v>0.5814</v>
      </c>
      <c r="I31" s="8" t="n">
        <v>0.5813718046064287</v>
      </c>
      <c r="J31" s="7" t="n">
        <v>20.673</v>
      </c>
    </row>
    <row r="32">
      <c r="A32" s="5" t="n">
        <v>2</v>
      </c>
      <c r="B32" s="6" t="n">
        <v>0.4132</v>
      </c>
      <c r="C32" s="5" t="n">
        <v>17.604</v>
      </c>
      <c r="D32" s="6" t="n">
        <v>0.2296</v>
      </c>
      <c r="E32" s="5" t="n">
        <v>6.888</v>
      </c>
      <c r="F32" s="6" t="n">
        <v>0.1836</v>
      </c>
      <c r="G32" s="5" t="n">
        <v>5.508</v>
      </c>
      <c r="H32" s="6" t="n">
        <v>0.5556</v>
      </c>
      <c r="I32" s="6" t="n">
        <v>0.5556631171345595</v>
      </c>
      <c r="J32" s="5" t="n">
        <v>20.664</v>
      </c>
    </row>
    <row r="37" ht="20" customHeight="1">
      <c r="A37" s="3" t="inlineStr">
        <is>
          <t>РИВ, случай 2: n1=n2=1; k1=0,6 мин⁻¹; k2=0,4 мин⁻¹</t>
        </is>
      </c>
    </row>
    <row r="38" ht="32" customHeight="1">
      <c r="A38" s="4" t="inlineStr">
        <is>
          <t>τ, мин</t>
        </is>
      </c>
      <c r="B38" s="4" t="inlineStr">
        <is>
          <t>X</t>
        </is>
      </c>
      <c r="C38" s="4" t="inlineStr">
        <is>
          <t>CA, моль/л</t>
        </is>
      </c>
      <c r="D38" s="4" t="inlineStr">
        <is>
          <t>Y</t>
        </is>
      </c>
      <c r="E38" s="4" t="inlineStr">
        <is>
          <t>CR, моль/л</t>
        </is>
      </c>
      <c r="F38" s="4" t="inlineStr">
        <is>
          <t>Z</t>
        </is>
      </c>
      <c r="G38" s="4" t="inlineStr">
        <is>
          <t>CS, моль/л</t>
        </is>
      </c>
      <c r="H38" s="4" t="inlineStr">
        <is>
          <t>S (дифф.)</t>
        </is>
      </c>
      <c r="I38" s="4" t="inlineStr">
        <is>
          <t>SR = Y/X</t>
        </is>
      </c>
      <c r="J38" s="4" t="inlineStr">
        <is>
          <t>ΠR, кмоль/ч</t>
        </is>
      </c>
    </row>
    <row r="39">
      <c r="A39" s="5" t="n">
        <v>0</v>
      </c>
      <c r="B39" s="6" t="n">
        <v>0</v>
      </c>
      <c r="C39" s="5" t="n">
        <v>30</v>
      </c>
      <c r="D39" s="6" t="n">
        <v>0</v>
      </c>
      <c r="E39" s="5" t="n">
        <v>0</v>
      </c>
      <c r="F39" s="6" t="n">
        <v>0</v>
      </c>
      <c r="G39" s="5" t="n">
        <v>0</v>
      </c>
      <c r="H39" s="6" t="n">
        <v>1</v>
      </c>
      <c r="I39" s="6" t="n">
        <v>1</v>
      </c>
      <c r="J39" s="5" t="n">
        <v>0</v>
      </c>
    </row>
    <row r="40">
      <c r="A40" s="7" t="n">
        <v>0.2</v>
      </c>
      <c r="B40" s="8" t="n">
        <v>0.1131</v>
      </c>
      <c r="C40" s="7" t="n">
        <v>26.607</v>
      </c>
      <c r="D40" s="8" t="n">
        <v>0.1086</v>
      </c>
      <c r="E40" s="7" t="n">
        <v>3.258</v>
      </c>
      <c r="F40" s="8" t="n">
        <v>0.0045</v>
      </c>
      <c r="G40" s="7" t="n">
        <v>0.135</v>
      </c>
      <c r="H40" s="8" t="n">
        <v>0.9603</v>
      </c>
      <c r="I40" s="8" t="n">
        <v>0.9602122015915119</v>
      </c>
      <c r="J40" s="7" t="n">
        <v>9.774000000000001</v>
      </c>
    </row>
    <row r="41">
      <c r="A41" s="5" t="n">
        <v>0.4</v>
      </c>
      <c r="B41" s="6" t="n">
        <v>0.2134</v>
      </c>
      <c r="C41" s="5" t="n">
        <v>23.598</v>
      </c>
      <c r="D41" s="6" t="n">
        <v>0.1965</v>
      </c>
      <c r="E41" s="5" t="n">
        <v>5.895</v>
      </c>
      <c r="F41" s="6" t="n">
        <v>0.0168</v>
      </c>
      <c r="G41" s="5" t="n">
        <v>0.504</v>
      </c>
      <c r="H41" s="6" t="n">
        <v>0.9211</v>
      </c>
      <c r="I41" s="6" t="n">
        <v>0.9208059981255857</v>
      </c>
      <c r="J41" s="5" t="n">
        <v>17.685</v>
      </c>
    </row>
    <row r="42">
      <c r="A42" s="7" t="n">
        <v>0.6</v>
      </c>
      <c r="B42" s="8" t="n">
        <v>0.3023</v>
      </c>
      <c r="C42" s="7" t="n">
        <v>20.931</v>
      </c>
      <c r="D42" s="8" t="n">
        <v>0.2669</v>
      </c>
      <c r="E42" s="7" t="n">
        <v>8.007000000000001</v>
      </c>
      <c r="F42" s="8" t="n">
        <v>0.0355</v>
      </c>
      <c r="G42" s="7" t="n">
        <v>1.065</v>
      </c>
      <c r="H42" s="8" t="n">
        <v>0.8827</v>
      </c>
      <c r="I42" s="8" t="n">
        <v>0.8828977836586173</v>
      </c>
      <c r="J42" s="7" t="n">
        <v>24.021</v>
      </c>
    </row>
    <row r="43">
      <c r="A43" s="5" t="n">
        <v>0.8</v>
      </c>
      <c r="B43" s="6" t="n">
        <v>0.3812</v>
      </c>
      <c r="C43" s="5" t="n">
        <v>18.564</v>
      </c>
      <c r="D43" s="6" t="n">
        <v>0.3221</v>
      </c>
      <c r="E43" s="5" t="n">
        <v>9.663</v>
      </c>
      <c r="F43" s="6" t="n">
        <v>0.0591</v>
      </c>
      <c r="G43" s="5" t="n">
        <v>1.773</v>
      </c>
      <c r="H43" s="6" t="n">
        <v>0.8449</v>
      </c>
      <c r="I43" s="6" t="n">
        <v>0.8449632738719832</v>
      </c>
      <c r="J43" s="5" t="n">
        <v>28.989</v>
      </c>
    </row>
    <row r="44">
      <c r="A44" s="7" t="n">
        <v>1</v>
      </c>
      <c r="B44" s="8" t="n">
        <v>0.4512</v>
      </c>
      <c r="C44" s="7" t="n">
        <v>16.464</v>
      </c>
      <c r="D44" s="8" t="n">
        <v>0.3645</v>
      </c>
      <c r="E44" s="7" t="n">
        <v>10.935</v>
      </c>
      <c r="F44" s="8" t="n">
        <v>0.0867</v>
      </c>
      <c r="G44" s="7" t="n">
        <v>2.601</v>
      </c>
      <c r="H44" s="8" t="n">
        <v>0.8079</v>
      </c>
      <c r="I44" s="8" t="n">
        <v>0.807845744680851</v>
      </c>
      <c r="J44" s="7" t="n">
        <v>32.805</v>
      </c>
    </row>
    <row r="45">
      <c r="A45" s="5" t="n">
        <v>1.2</v>
      </c>
      <c r="B45" s="6" t="n">
        <v>0.5132</v>
      </c>
      <c r="C45" s="5" t="n">
        <v>14.604</v>
      </c>
      <c r="D45" s="6" t="n">
        <v>0.3961</v>
      </c>
      <c r="E45" s="5" t="n">
        <v>11.883</v>
      </c>
      <c r="F45" s="6" t="n">
        <v>0.1172</v>
      </c>
      <c r="G45" s="5" t="n">
        <v>3.516</v>
      </c>
      <c r="H45" s="6" t="n">
        <v>0.7717000000000001</v>
      </c>
      <c r="I45" s="6" t="n">
        <v>0.7718238503507405</v>
      </c>
      <c r="J45" s="5" t="n">
        <v>35.649</v>
      </c>
    </row>
    <row r="46">
      <c r="A46" s="7" t="n">
        <v>1.4</v>
      </c>
      <c r="B46" s="8" t="n">
        <v>0.5683</v>
      </c>
      <c r="C46" s="7" t="n">
        <v>12.951</v>
      </c>
      <c r="D46" s="8" t="n">
        <v>0.4185</v>
      </c>
      <c r="E46" s="7" t="n">
        <v>12.555</v>
      </c>
      <c r="F46" s="8" t="n">
        <v>0.1498</v>
      </c>
      <c r="G46" s="7" t="n">
        <v>4.494</v>
      </c>
      <c r="H46" s="8" t="n">
        <v>0.7364000000000001</v>
      </c>
      <c r="I46" s="8" t="n">
        <v>0.7364068273799049</v>
      </c>
      <c r="J46" s="7" t="n">
        <v>37.665</v>
      </c>
    </row>
    <row r="47">
      <c r="A47" s="5" t="n">
        <v>1.6</v>
      </c>
      <c r="B47" s="6" t="n">
        <v>0.6171</v>
      </c>
      <c r="C47" s="5" t="n">
        <v>11.487</v>
      </c>
      <c r="D47" s="6" t="n">
        <v>0.4332</v>
      </c>
      <c r="E47" s="5" t="n">
        <v>12.996</v>
      </c>
      <c r="F47" s="6" t="n">
        <v>0.1839</v>
      </c>
      <c r="G47" s="5" t="n">
        <v>5.517</v>
      </c>
      <c r="H47" s="6" t="n">
        <v>0.702</v>
      </c>
      <c r="I47" s="6" t="n">
        <v>0.7019931939718036</v>
      </c>
      <c r="J47" s="5" t="n">
        <v>38.988</v>
      </c>
    </row>
    <row r="48">
      <c r="A48" s="7" t="n">
        <v>1.8</v>
      </c>
      <c r="B48" s="8" t="n">
        <v>0.6604</v>
      </c>
      <c r="C48" s="7" t="n">
        <v>10.188</v>
      </c>
      <c r="D48" s="8" t="n">
        <v>0.4415</v>
      </c>
      <c r="E48" s="7" t="n">
        <v>13.245</v>
      </c>
      <c r="F48" s="8" t="n">
        <v>0.2189</v>
      </c>
      <c r="G48" s="7" t="n">
        <v>6.567</v>
      </c>
      <c r="H48" s="8" t="n">
        <v>0.6685</v>
      </c>
      <c r="I48" s="8" t="n">
        <v>0.668534221683828</v>
      </c>
      <c r="J48" s="7" t="n">
        <v>39.735</v>
      </c>
    </row>
    <row r="49">
      <c r="A49" s="5" t="n">
        <v>2</v>
      </c>
      <c r="B49" s="6" t="n">
        <v>0.6988</v>
      </c>
      <c r="C49" s="5" t="n">
        <v>9.036000000000001</v>
      </c>
      <c r="D49" s="6" t="n">
        <v>0.4444</v>
      </c>
      <c r="E49" s="5" t="n">
        <v>13.332</v>
      </c>
      <c r="F49" s="6" t="n">
        <v>0.2544</v>
      </c>
      <c r="G49" s="5" t="n">
        <v>7.632000000000001</v>
      </c>
      <c r="H49" s="6" t="n">
        <v>0.6359</v>
      </c>
      <c r="I49" s="6" t="n">
        <v>0.6359473382942187</v>
      </c>
      <c r="J49" s="5" t="n">
        <v>39.996</v>
      </c>
    </row>
    <row r="53" ht="20" customHeight="1">
      <c r="A53" s="3" t="inlineStr">
        <is>
          <t>РИС-н, случай 2: n1=n2=1; k1=0,6 мин⁻¹; k2=0,4 мин⁻¹</t>
        </is>
      </c>
    </row>
    <row r="54" ht="32" customHeight="1">
      <c r="A54" s="4" t="inlineStr">
        <is>
          <t>τ, мин</t>
        </is>
      </c>
      <c r="B54" s="4" t="inlineStr">
        <is>
          <t>X</t>
        </is>
      </c>
      <c r="C54" s="4" t="inlineStr">
        <is>
          <t>CA, моль/л</t>
        </is>
      </c>
      <c r="D54" s="4" t="inlineStr">
        <is>
          <t>Y</t>
        </is>
      </c>
      <c r="E54" s="4" t="inlineStr">
        <is>
          <t>CR, моль/л</t>
        </is>
      </c>
      <c r="F54" s="4" t="inlineStr">
        <is>
          <t>Z</t>
        </is>
      </c>
      <c r="G54" s="4" t="inlineStr">
        <is>
          <t>CS, моль/л</t>
        </is>
      </c>
      <c r="H54" s="4" t="inlineStr">
        <is>
          <t>S (дифф.)</t>
        </is>
      </c>
      <c r="I54" s="4" t="inlineStr">
        <is>
          <t>SR = Y/X</t>
        </is>
      </c>
      <c r="J54" s="4" t="inlineStr">
        <is>
          <t>ΠR, кмоль/ч</t>
        </is>
      </c>
    </row>
    <row r="55">
      <c r="A55" s="5" t="n">
        <v>0</v>
      </c>
      <c r="B55" s="6" t="n">
        <v>0</v>
      </c>
      <c r="C55" s="5" t="n">
        <v>30</v>
      </c>
      <c r="D55" s="6" t="n">
        <v>0</v>
      </c>
      <c r="E55" s="5" t="n">
        <v>0</v>
      </c>
      <c r="F55" s="6" t="n">
        <v>0</v>
      </c>
      <c r="G55" s="5" t="n">
        <v>0</v>
      </c>
      <c r="H55" s="6" t="n">
        <v>1</v>
      </c>
      <c r="I55" s="6" t="n">
        <v>1</v>
      </c>
      <c r="J55" s="5" t="n">
        <v>0</v>
      </c>
    </row>
    <row r="56">
      <c r="A56" s="7" t="n">
        <v>0.2</v>
      </c>
      <c r="B56" s="8" t="n">
        <v>0.1071</v>
      </c>
      <c r="C56" s="7" t="n">
        <v>26.787</v>
      </c>
      <c r="D56" s="8" t="n">
        <v>0.0992</v>
      </c>
      <c r="E56" s="7" t="n">
        <v>2.976</v>
      </c>
      <c r="F56" s="8" t="n">
        <v>0.007900000000000001</v>
      </c>
      <c r="G56" s="7" t="n">
        <v>0.237</v>
      </c>
      <c r="H56" s="8" t="n">
        <v>0.9258999999999999</v>
      </c>
      <c r="I56" s="8" t="n">
        <v>0.9262371615312791</v>
      </c>
      <c r="J56" s="7" t="n">
        <v>8.927999999999999</v>
      </c>
    </row>
    <row r="57">
      <c r="A57" s="5" t="n">
        <v>0.4</v>
      </c>
      <c r="B57" s="6" t="n">
        <v>0.1935</v>
      </c>
      <c r="C57" s="5" t="n">
        <v>24.195</v>
      </c>
      <c r="D57" s="6" t="n">
        <v>0.1669</v>
      </c>
      <c r="E57" s="5" t="n">
        <v>5.007</v>
      </c>
      <c r="F57" s="6" t="n">
        <v>0.0267</v>
      </c>
      <c r="G57" s="5" t="n">
        <v>0.801</v>
      </c>
      <c r="H57" s="6" t="n">
        <v>0.8621</v>
      </c>
      <c r="I57" s="6" t="n">
        <v>0.8625322997416021</v>
      </c>
      <c r="J57" s="5" t="n">
        <v>15.021</v>
      </c>
    </row>
    <row r="58">
      <c r="A58" s="7" t="n">
        <v>0.6</v>
      </c>
      <c r="B58" s="8" t="n">
        <v>0.2647</v>
      </c>
      <c r="C58" s="7" t="n">
        <v>22.059</v>
      </c>
      <c r="D58" s="8" t="n">
        <v>0.2135</v>
      </c>
      <c r="E58" s="7" t="n">
        <v>6.405</v>
      </c>
      <c r="F58" s="8" t="n">
        <v>0.0512</v>
      </c>
      <c r="G58" s="7" t="n">
        <v>1.536</v>
      </c>
      <c r="H58" s="8" t="n">
        <v>0.8065</v>
      </c>
      <c r="I58" s="8" t="n">
        <v>0.8065734794106536</v>
      </c>
      <c r="J58" s="7" t="n">
        <v>19.215</v>
      </c>
    </row>
    <row r="59">
      <c r="A59" s="5" t="n">
        <v>0.8</v>
      </c>
      <c r="B59" s="6" t="n">
        <v>0.3243</v>
      </c>
      <c r="C59" s="5" t="n">
        <v>20.271</v>
      </c>
      <c r="D59" s="6" t="n">
        <v>0.2457</v>
      </c>
      <c r="E59" s="5" t="n">
        <v>7.371</v>
      </c>
      <c r="F59" s="6" t="n">
        <v>0.0786</v>
      </c>
      <c r="G59" s="5" t="n">
        <v>2.358</v>
      </c>
      <c r="H59" s="6" t="n">
        <v>0.7576000000000001</v>
      </c>
      <c r="I59" s="6" t="n">
        <v>0.757631822386679</v>
      </c>
      <c r="J59" s="5" t="n">
        <v>22.113</v>
      </c>
    </row>
    <row r="60">
      <c r="A60" s="7" t="n">
        <v>1</v>
      </c>
      <c r="B60" s="8" t="n">
        <v>0.375</v>
      </c>
      <c r="C60" s="7" t="n">
        <v>18.75</v>
      </c>
      <c r="D60" s="8" t="n">
        <v>0.2679</v>
      </c>
      <c r="E60" s="7" t="n">
        <v>8.037000000000001</v>
      </c>
      <c r="F60" s="8" t="n">
        <v>0.1071</v>
      </c>
      <c r="G60" s="7" t="n">
        <v>3.213</v>
      </c>
      <c r="H60" s="8" t="n">
        <v>0.7143</v>
      </c>
      <c r="I60" s="8" t="n">
        <v>0.7144</v>
      </c>
      <c r="J60" s="7" t="n">
        <v>24.111</v>
      </c>
    </row>
    <row r="61">
      <c r="A61" s="5" t="n">
        <v>1.2</v>
      </c>
      <c r="B61" s="6" t="n">
        <v>0.4186</v>
      </c>
      <c r="C61" s="5" t="n">
        <v>17.442</v>
      </c>
      <c r="D61" s="6" t="n">
        <v>0.2828</v>
      </c>
      <c r="E61" s="5" t="n">
        <v>8.484</v>
      </c>
      <c r="F61" s="6" t="n">
        <v>0.1358</v>
      </c>
      <c r="G61" s="5" t="n">
        <v>4.074</v>
      </c>
      <c r="H61" s="6" t="n">
        <v>0.6757</v>
      </c>
      <c r="I61" s="6" t="n">
        <v>0.6755852842809364</v>
      </c>
      <c r="J61" s="5" t="n">
        <v>25.452</v>
      </c>
    </row>
    <row r="62">
      <c r="A62" s="7" t="n">
        <v>1.4</v>
      </c>
      <c r="B62" s="8" t="n">
        <v>0.4565</v>
      </c>
      <c r="C62" s="7" t="n">
        <v>16.305</v>
      </c>
      <c r="D62" s="8" t="n">
        <v>0.2926</v>
      </c>
      <c r="E62" s="7" t="n">
        <v>8.778</v>
      </c>
      <c r="F62" s="8" t="n">
        <v>0.1639</v>
      </c>
      <c r="G62" s="7" t="n">
        <v>4.917</v>
      </c>
      <c r="H62" s="8" t="n">
        <v>0.641</v>
      </c>
      <c r="I62" s="8" t="n">
        <v>0.6409638554216868</v>
      </c>
      <c r="J62" s="7" t="n">
        <v>26.334</v>
      </c>
    </row>
    <row r="63">
      <c r="A63" s="5" t="n">
        <v>1.6</v>
      </c>
      <c r="B63" s="6" t="n">
        <v>0.4898</v>
      </c>
      <c r="C63" s="5" t="n">
        <v>15.306</v>
      </c>
      <c r="D63" s="6" t="n">
        <v>0.2987</v>
      </c>
      <c r="E63" s="5" t="n">
        <v>8.961</v>
      </c>
      <c r="F63" s="6" t="n">
        <v>0.1911</v>
      </c>
      <c r="G63" s="5" t="n">
        <v>5.733</v>
      </c>
      <c r="H63" s="6" t="n">
        <v>0.6098</v>
      </c>
      <c r="I63" s="6" t="n">
        <v>0.6098407513270723</v>
      </c>
      <c r="J63" s="5" t="n">
        <v>26.883</v>
      </c>
    </row>
    <row r="64">
      <c r="A64" s="7" t="n">
        <v>1.8</v>
      </c>
      <c r="B64" s="8" t="n">
        <v>0.5192</v>
      </c>
      <c r="C64" s="7" t="n">
        <v>14.424</v>
      </c>
      <c r="D64" s="8" t="n">
        <v>0.3019</v>
      </c>
      <c r="E64" s="7" t="n">
        <v>9.057</v>
      </c>
      <c r="F64" s="8" t="n">
        <v>0.2174</v>
      </c>
      <c r="G64" s="7" t="n">
        <v>6.522</v>
      </c>
      <c r="H64" s="8" t="n">
        <v>0.5814</v>
      </c>
      <c r="I64" s="8" t="n">
        <v>0.5814714946070878</v>
      </c>
      <c r="J64" s="7" t="n">
        <v>27.171</v>
      </c>
    </row>
    <row r="65">
      <c r="A65" s="5" t="n">
        <v>2</v>
      </c>
      <c r="B65" s="6" t="n">
        <v>0.5454</v>
      </c>
      <c r="C65" s="5" t="n">
        <v>13.638</v>
      </c>
      <c r="D65" s="6" t="n">
        <v>0.303</v>
      </c>
      <c r="E65" s="5" t="n">
        <v>9.09</v>
      </c>
      <c r="F65" s="6" t="n">
        <v>0.2424</v>
      </c>
      <c r="G65" s="5" t="n">
        <v>7.272</v>
      </c>
      <c r="H65" s="6" t="n">
        <v>0.5556</v>
      </c>
      <c r="I65" s="6" t="n">
        <v>0.5555555555555556</v>
      </c>
      <c r="J65" s="5" t="n">
        <v>27.27</v>
      </c>
    </row>
    <row r="70" ht="20" customHeight="1">
      <c r="A70" s="3" t="inlineStr">
        <is>
          <t>РИВ, случай 3: n1=1, n2=2; k1=0,6 мин⁻¹; k2=0,4 л/(моль·мин)</t>
        </is>
      </c>
    </row>
    <row r="71" ht="32" customHeight="1">
      <c r="A71" s="4" t="inlineStr">
        <is>
          <t>τ, мин</t>
        </is>
      </c>
      <c r="B71" s="4" t="inlineStr">
        <is>
          <t>X</t>
        </is>
      </c>
      <c r="C71" s="4" t="inlineStr">
        <is>
          <t>CA, моль/л</t>
        </is>
      </c>
      <c r="D71" s="4" t="inlineStr">
        <is>
          <t>Y</t>
        </is>
      </c>
      <c r="E71" s="4" t="inlineStr">
        <is>
          <t>CR, моль/л</t>
        </is>
      </c>
      <c r="F71" s="4" t="inlineStr">
        <is>
          <t>Z</t>
        </is>
      </c>
      <c r="G71" s="4" t="inlineStr">
        <is>
          <t>CS, моль/л</t>
        </is>
      </c>
      <c r="H71" s="4" t="inlineStr">
        <is>
          <t>S (дифф.)</t>
        </is>
      </c>
      <c r="I71" s="4" t="inlineStr">
        <is>
          <t>SR = Y/X</t>
        </is>
      </c>
      <c r="J71" s="4" t="inlineStr">
        <is>
          <t>ΠR, кмоль/ч</t>
        </is>
      </c>
    </row>
    <row r="72">
      <c r="A72" s="5" t="n">
        <v>0</v>
      </c>
      <c r="B72" s="6" t="n">
        <v>0</v>
      </c>
      <c r="C72" s="5" t="n">
        <v>30</v>
      </c>
      <c r="D72" s="6" t="n">
        <v>0</v>
      </c>
      <c r="E72" s="5" t="n">
        <v>0</v>
      </c>
      <c r="F72" s="6" t="n">
        <v>0</v>
      </c>
      <c r="G72" s="5" t="n">
        <v>0</v>
      </c>
      <c r="H72" s="6" t="n">
        <v>1</v>
      </c>
      <c r="I72" s="6" t="n">
        <v>1</v>
      </c>
      <c r="J72" s="5" t="n">
        <v>0</v>
      </c>
    </row>
    <row r="73">
      <c r="A73" s="7" t="n">
        <v>0.2</v>
      </c>
      <c r="B73" s="8" t="n">
        <v>0.1131</v>
      </c>
      <c r="C73" s="7" t="n">
        <v>26.607</v>
      </c>
      <c r="D73" s="8" t="n">
        <v>0.1127</v>
      </c>
      <c r="E73" s="7" t="n">
        <v>3.381</v>
      </c>
      <c r="F73" s="8" t="n">
        <v>0.0004</v>
      </c>
      <c r="G73" s="7" t="n">
        <v>0.012</v>
      </c>
      <c r="H73" s="8" t="n">
        <v>0.9969</v>
      </c>
      <c r="I73" s="8" t="n">
        <v>0.9964633068081343</v>
      </c>
      <c r="J73" s="7" t="n">
        <v>10.143</v>
      </c>
    </row>
    <row r="74">
      <c r="A74" s="5" t="n">
        <v>0.4</v>
      </c>
      <c r="B74" s="6" t="n">
        <v>0.2134</v>
      </c>
      <c r="C74" s="5" t="n">
        <v>23.598</v>
      </c>
      <c r="D74" s="6" t="n">
        <v>0.2108</v>
      </c>
      <c r="E74" s="5" t="n">
        <v>6.324</v>
      </c>
      <c r="F74" s="6" t="n">
        <v>0.0025</v>
      </c>
      <c r="G74" s="5" t="n">
        <v>0.075</v>
      </c>
      <c r="H74" s="6" t="n">
        <v>0.9881</v>
      </c>
      <c r="I74" s="6" t="n">
        <v>0.9878163074039362</v>
      </c>
      <c r="J74" s="5" t="n">
        <v>18.972</v>
      </c>
    </row>
    <row r="75">
      <c r="A75" s="7" t="n">
        <v>0.6</v>
      </c>
      <c r="B75" s="8" t="n">
        <v>0.3023</v>
      </c>
      <c r="C75" s="7" t="n">
        <v>20.931</v>
      </c>
      <c r="D75" s="8" t="n">
        <v>0.2946</v>
      </c>
      <c r="E75" s="7" t="n">
        <v>8.837999999999999</v>
      </c>
      <c r="F75" s="8" t="n">
        <v>0.0077</v>
      </c>
      <c r="G75" s="7" t="n">
        <v>0.231</v>
      </c>
      <c r="H75" s="8" t="n">
        <v>0.9744</v>
      </c>
      <c r="I75" s="8" t="n">
        <v>0.9745286139596426</v>
      </c>
      <c r="J75" s="7" t="n">
        <v>26.514</v>
      </c>
    </row>
    <row r="76">
      <c r="A76" s="5" t="n">
        <v>0.8</v>
      </c>
      <c r="B76" s="6" t="n">
        <v>0.3812</v>
      </c>
      <c r="C76" s="5" t="n">
        <v>18.564</v>
      </c>
      <c r="D76" s="6" t="n">
        <v>0.3647</v>
      </c>
      <c r="E76" s="5" t="n">
        <v>10.941</v>
      </c>
      <c r="F76" s="6" t="n">
        <v>0.0165</v>
      </c>
      <c r="G76" s="5" t="n">
        <v>0.495</v>
      </c>
      <c r="H76" s="6" t="n">
        <v>0.9566</v>
      </c>
      <c r="I76" s="6" t="n">
        <v>0.9567156348373558</v>
      </c>
      <c r="J76" s="5" t="n">
        <v>32.823</v>
      </c>
    </row>
    <row r="77">
      <c r="A77" s="7" t="n">
        <v>1</v>
      </c>
      <c r="B77" s="8" t="n">
        <v>0.4512</v>
      </c>
      <c r="C77" s="7" t="n">
        <v>16.464</v>
      </c>
      <c r="D77" s="8" t="n">
        <v>0.4222</v>
      </c>
      <c r="E77" s="7" t="n">
        <v>12.666</v>
      </c>
      <c r="F77" s="8" t="n">
        <v>0.029</v>
      </c>
      <c r="G77" s="7" t="n">
        <v>0.87</v>
      </c>
      <c r="H77" s="8" t="n">
        <v>0.9357</v>
      </c>
      <c r="I77" s="8" t="n">
        <v>0.93572695035461</v>
      </c>
      <c r="J77" s="7" t="n">
        <v>37.998</v>
      </c>
    </row>
    <row r="78">
      <c r="A78" s="5" t="n">
        <v>1.2</v>
      </c>
      <c r="B78" s="6" t="n">
        <v>0.5132</v>
      </c>
      <c r="C78" s="5" t="n">
        <v>14.604</v>
      </c>
      <c r="D78" s="6" t="n">
        <v>0.4683</v>
      </c>
      <c r="E78" s="5" t="n">
        <v>14.049</v>
      </c>
      <c r="F78" s="6" t="n">
        <v>0.0449</v>
      </c>
      <c r="G78" s="5" t="n">
        <v>1.347</v>
      </c>
      <c r="H78" s="6" t="n">
        <v>0.9124</v>
      </c>
      <c r="I78" s="6" t="n">
        <v>0.9125097427903351</v>
      </c>
      <c r="J78" s="5" t="n">
        <v>42.147</v>
      </c>
    </row>
    <row r="79">
      <c r="A79" s="7" t="n">
        <v>1.4</v>
      </c>
      <c r="B79" s="8" t="n">
        <v>0.5683</v>
      </c>
      <c r="C79" s="7" t="n">
        <v>12.951</v>
      </c>
      <c r="D79" s="8" t="n">
        <v>0.5044</v>
      </c>
      <c r="E79" s="7" t="n">
        <v>15.132</v>
      </c>
      <c r="F79" s="8" t="n">
        <v>0.0639</v>
      </c>
      <c r="G79" s="7" t="n">
        <v>1.917</v>
      </c>
      <c r="H79" s="8" t="n">
        <v>0.8875</v>
      </c>
      <c r="I79" s="8" t="n">
        <v>0.8875593876473692</v>
      </c>
      <c r="J79" s="7" t="n">
        <v>45.39599999999999</v>
      </c>
    </row>
    <row r="80">
      <c r="A80" s="5" t="n">
        <v>1.6</v>
      </c>
      <c r="B80" s="6" t="n">
        <v>0.6171</v>
      </c>
      <c r="C80" s="5" t="n">
        <v>11.487</v>
      </c>
      <c r="D80" s="6" t="n">
        <v>0.5317</v>
      </c>
      <c r="E80" s="5" t="n">
        <v>15.951</v>
      </c>
      <c r="F80" s="6" t="n">
        <v>0.08550000000000001</v>
      </c>
      <c r="G80" s="5" t="n">
        <v>2.565</v>
      </c>
      <c r="H80" s="6" t="n">
        <v>0.8615</v>
      </c>
      <c r="I80" s="6" t="n">
        <v>0.8616107600064818</v>
      </c>
      <c r="J80" s="5" t="n">
        <v>47.85299999999999</v>
      </c>
    </row>
    <row r="81">
      <c r="A81" s="7" t="n">
        <v>1.8</v>
      </c>
      <c r="B81" s="8" t="n">
        <v>0.6604</v>
      </c>
      <c r="C81" s="7" t="n">
        <v>10.188</v>
      </c>
      <c r="D81" s="8" t="n">
        <v>0.5514</v>
      </c>
      <c r="E81" s="7" t="n">
        <v>16.542</v>
      </c>
      <c r="F81" s="8" t="n">
        <v>0.109</v>
      </c>
      <c r="G81" s="7" t="n">
        <v>3.27</v>
      </c>
      <c r="H81" s="8" t="n">
        <v>0.835</v>
      </c>
      <c r="I81" s="8" t="n">
        <v>0.8349485160508783</v>
      </c>
      <c r="J81" s="7" t="n">
        <v>49.626</v>
      </c>
    </row>
    <row r="82">
      <c r="A82" s="5" t="n">
        <v>2</v>
      </c>
      <c r="B82" s="6" t="n">
        <v>0.6988</v>
      </c>
      <c r="C82" s="5" t="n">
        <v>9.036000000000001</v>
      </c>
      <c r="D82" s="6" t="n">
        <v>0.5649</v>
      </c>
      <c r="E82" s="5" t="n">
        <v>16.947</v>
      </c>
      <c r="F82" s="6" t="n">
        <v>0.1339</v>
      </c>
      <c r="G82" s="5" t="n">
        <v>4.016999999999999</v>
      </c>
      <c r="H82" s="6" t="n">
        <v>0.8083</v>
      </c>
      <c r="I82" s="6" t="n">
        <v>0.8083858042358328</v>
      </c>
      <c r="J82" s="5" t="n">
        <v>50.84099999999999</v>
      </c>
    </row>
    <row r="86" ht="20" customHeight="1">
      <c r="A86" s="3" t="inlineStr">
        <is>
          <t>РИС-н, случай 3: n1=1, n2=2; k1=0,6 мин⁻¹; k2=0,4 л/(моль·мин)</t>
        </is>
      </c>
    </row>
    <row r="87" ht="32" customHeight="1">
      <c r="A87" s="4" t="inlineStr">
        <is>
          <t>τ, мин</t>
        </is>
      </c>
      <c r="B87" s="4" t="inlineStr">
        <is>
          <t>X</t>
        </is>
      </c>
      <c r="C87" s="4" t="inlineStr">
        <is>
          <t>CA, моль/л</t>
        </is>
      </c>
      <c r="D87" s="4" t="inlineStr">
        <is>
          <t>Y</t>
        </is>
      </c>
      <c r="E87" s="4" t="inlineStr">
        <is>
          <t>CR, моль/л</t>
        </is>
      </c>
      <c r="F87" s="4" t="inlineStr">
        <is>
          <t>Z</t>
        </is>
      </c>
      <c r="G87" s="4" t="inlineStr">
        <is>
          <t>CS, моль/л</t>
        </is>
      </c>
      <c r="H87" s="4" t="inlineStr">
        <is>
          <t>S (дифф.)</t>
        </is>
      </c>
      <c r="I87" s="4" t="inlineStr">
        <is>
          <t>SR = Y/X</t>
        </is>
      </c>
      <c r="J87" s="4" t="inlineStr">
        <is>
          <t>ΠR, кмоль/ч</t>
        </is>
      </c>
    </row>
    <row r="88">
      <c r="A88" s="5" t="n">
        <v>0</v>
      </c>
      <c r="B88" s="6" t="n">
        <v>0</v>
      </c>
      <c r="C88" s="5" t="n">
        <v>30</v>
      </c>
      <c r="D88" s="6" t="n">
        <v>0</v>
      </c>
      <c r="E88" s="5" t="n">
        <v>0</v>
      </c>
      <c r="F88" s="6" t="n">
        <v>0</v>
      </c>
      <c r="G88" s="5" t="n">
        <v>0</v>
      </c>
      <c r="H88" s="6" t="n">
        <v>1</v>
      </c>
      <c r="I88" s="6" t="n">
        <v>1</v>
      </c>
      <c r="J88" s="5" t="n">
        <v>0</v>
      </c>
    </row>
    <row r="89">
      <c r="A89" s="7" t="n">
        <v>0.2</v>
      </c>
      <c r="B89" s="8" t="n">
        <v>0.1071</v>
      </c>
      <c r="C89" s="7" t="n">
        <v>26.787</v>
      </c>
      <c r="D89" s="8" t="n">
        <v>0.1062</v>
      </c>
      <c r="E89" s="7" t="n">
        <v>3.186</v>
      </c>
      <c r="F89" s="8" t="n">
        <v>0.0009</v>
      </c>
      <c r="G89" s="7" t="n">
        <v>0.027</v>
      </c>
      <c r="H89" s="8" t="n">
        <v>0.9916</v>
      </c>
      <c r="I89" s="8" t="n">
        <v>0.9915966386554622</v>
      </c>
      <c r="J89" s="7" t="n">
        <v>9.558</v>
      </c>
    </row>
    <row r="90">
      <c r="A90" s="5" t="n">
        <v>0.4</v>
      </c>
      <c r="B90" s="6" t="n">
        <v>0.1935</v>
      </c>
      <c r="C90" s="5" t="n">
        <v>24.195</v>
      </c>
      <c r="D90" s="6" t="n">
        <v>0.1879</v>
      </c>
      <c r="E90" s="5" t="n">
        <v>5.637</v>
      </c>
      <c r="F90" s="6" t="n">
        <v>0.0056</v>
      </c>
      <c r="G90" s="5" t="n">
        <v>0.168</v>
      </c>
      <c r="H90" s="6" t="n">
        <v>0.9708</v>
      </c>
      <c r="I90" s="6" t="n">
        <v>0.9710594315245479</v>
      </c>
      <c r="J90" s="5" t="n">
        <v>16.911</v>
      </c>
    </row>
    <row r="91">
      <c r="A91" s="7" t="n">
        <v>0.6</v>
      </c>
      <c r="B91" s="8" t="n">
        <v>0.2647</v>
      </c>
      <c r="C91" s="7" t="n">
        <v>22.059</v>
      </c>
      <c r="D91" s="8" t="n">
        <v>0.2497</v>
      </c>
      <c r="E91" s="7" t="n">
        <v>7.491000000000001</v>
      </c>
      <c r="F91" s="8" t="n">
        <v>0.015</v>
      </c>
      <c r="G91" s="7" t="n">
        <v>0.45</v>
      </c>
      <c r="H91" s="8" t="n">
        <v>0.9435</v>
      </c>
      <c r="I91" s="8" t="n">
        <v>0.94333207404609</v>
      </c>
      <c r="J91" s="7" t="n">
        <v>22.473</v>
      </c>
    </row>
    <row r="92">
      <c r="A92" s="5" t="n">
        <v>0.8</v>
      </c>
      <c r="B92" s="6" t="n">
        <v>0.3243</v>
      </c>
      <c r="C92" s="5" t="n">
        <v>20.271</v>
      </c>
      <c r="D92" s="6" t="n">
        <v>0.2962</v>
      </c>
      <c r="E92" s="5" t="n">
        <v>8.886000000000001</v>
      </c>
      <c r="F92" s="6" t="n">
        <v>0.0281</v>
      </c>
      <c r="G92" s="5" t="n">
        <v>0.843</v>
      </c>
      <c r="H92" s="6" t="n">
        <v>0.9134</v>
      </c>
      <c r="I92" s="6" t="n">
        <v>0.9133518347209375</v>
      </c>
      <c r="J92" s="5" t="n">
        <v>26.658</v>
      </c>
    </row>
    <row r="93">
      <c r="A93" s="7" t="n">
        <v>1</v>
      </c>
      <c r="B93" s="8" t="n">
        <v>0.375</v>
      </c>
      <c r="C93" s="7" t="n">
        <v>18.75</v>
      </c>
      <c r="D93" s="8" t="n">
        <v>0.3311</v>
      </c>
      <c r="E93" s="7" t="n">
        <v>9.933</v>
      </c>
      <c r="F93" s="8" t="n">
        <v>0.0439</v>
      </c>
      <c r="G93" s="7" t="n">
        <v>1.317</v>
      </c>
      <c r="H93" s="8" t="n">
        <v>0.883</v>
      </c>
      <c r="I93" s="8" t="n">
        <v>0.8829333333333333</v>
      </c>
      <c r="J93" s="7" t="n">
        <v>29.799</v>
      </c>
    </row>
    <row r="94">
      <c r="A94" s="5" t="n">
        <v>1.2</v>
      </c>
      <c r="B94" s="6" t="n">
        <v>0.4186</v>
      </c>
      <c r="C94" s="5" t="n">
        <v>17.442</v>
      </c>
      <c r="D94" s="6" t="n">
        <v>0.3573</v>
      </c>
      <c r="E94" s="5" t="n">
        <v>10.719</v>
      </c>
      <c r="F94" s="6" t="n">
        <v>0.0613</v>
      </c>
      <c r="G94" s="5" t="n">
        <v>1.839</v>
      </c>
      <c r="H94" s="6" t="n">
        <v>0.8536</v>
      </c>
      <c r="I94" s="6" t="n">
        <v>0.8535594839942665</v>
      </c>
      <c r="J94" s="5" t="n">
        <v>32.157</v>
      </c>
    </row>
    <row r="95">
      <c r="A95" s="7" t="n">
        <v>1.4</v>
      </c>
      <c r="B95" s="8" t="n">
        <v>0.4565</v>
      </c>
      <c r="C95" s="7" t="n">
        <v>16.305</v>
      </c>
      <c r="D95" s="8" t="n">
        <v>0.377</v>
      </c>
      <c r="E95" s="7" t="n">
        <v>11.31</v>
      </c>
      <c r="F95" s="8" t="n">
        <v>0.0796</v>
      </c>
      <c r="G95" s="7" t="n">
        <v>2.388</v>
      </c>
      <c r="H95" s="8" t="n">
        <v>0.8257</v>
      </c>
      <c r="I95" s="8" t="n">
        <v>0.8258488499452354</v>
      </c>
      <c r="J95" s="7" t="n">
        <v>33.93</v>
      </c>
    </row>
    <row r="96">
      <c r="A96" s="5" t="n">
        <v>1.6</v>
      </c>
      <c r="B96" s="6" t="n">
        <v>0.4898</v>
      </c>
      <c r="C96" s="5" t="n">
        <v>15.306</v>
      </c>
      <c r="D96" s="6" t="n">
        <v>0.3916</v>
      </c>
      <c r="E96" s="5" t="n">
        <v>11.748</v>
      </c>
      <c r="F96" s="6" t="n">
        <v>0.0982</v>
      </c>
      <c r="G96" s="5" t="n">
        <v>2.946</v>
      </c>
      <c r="H96" s="6" t="n">
        <v>0.7996</v>
      </c>
      <c r="I96" s="6" t="n">
        <v>0.7995100040832993</v>
      </c>
      <c r="J96" s="5" t="n">
        <v>35.244</v>
      </c>
    </row>
    <row r="97">
      <c r="A97" s="7" t="n">
        <v>1.8</v>
      </c>
      <c r="B97" s="8" t="n">
        <v>0.5192</v>
      </c>
      <c r="C97" s="7" t="n">
        <v>14.424</v>
      </c>
      <c r="D97" s="8" t="n">
        <v>0.4026</v>
      </c>
      <c r="E97" s="7" t="n">
        <v>12.078</v>
      </c>
      <c r="F97" s="8" t="n">
        <v>0.1167</v>
      </c>
      <c r="G97" s="7" t="n">
        <v>3.501</v>
      </c>
      <c r="H97" s="8" t="n">
        <v>0.7753</v>
      </c>
      <c r="I97" s="8" t="n">
        <v>0.7754237288135594</v>
      </c>
      <c r="J97" s="7" t="n">
        <v>36.234</v>
      </c>
    </row>
    <row r="98">
      <c r="A98" s="5" t="n">
        <v>2</v>
      </c>
      <c r="B98" s="6" t="n">
        <v>0.5454</v>
      </c>
      <c r="C98" s="5" t="n">
        <v>13.638</v>
      </c>
      <c r="D98" s="6" t="n">
        <v>0.4106</v>
      </c>
      <c r="E98" s="5" t="n">
        <v>12.318</v>
      </c>
      <c r="F98" s="6" t="n">
        <v>0.1349</v>
      </c>
      <c r="G98" s="5" t="n">
        <v>4.047</v>
      </c>
      <c r="H98" s="6" t="n">
        <v>0.7528</v>
      </c>
      <c r="I98" s="6" t="n">
        <v>0.7528419508617529</v>
      </c>
      <c r="J98" s="5" t="n">
        <v>36.954</v>
      </c>
    </row>
  </sheetData>
  <mergeCells count="7">
    <mergeCell ref="A1:J1"/>
    <mergeCell ref="A37:J37"/>
    <mergeCell ref="A70:J70"/>
    <mergeCell ref="A3:J3"/>
    <mergeCell ref="A53:J53"/>
    <mergeCell ref="A20:J20"/>
    <mergeCell ref="A86:J86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>
      <c r="A1" s="1" t="inlineStr">
        <is>
          <t>Производительность по R, интегральная селективность и выводы</t>
        </is>
      </c>
    </row>
    <row r="3" ht="28" customHeight="1">
      <c r="A3" s="4" t="inlineStr">
        <is>
          <t>Случай</t>
        </is>
      </c>
      <c r="B3" s="4" t="inlineStr">
        <is>
          <t>Реактор</t>
        </is>
      </c>
      <c r="C3" s="4" t="inlineStr">
        <is>
          <t>X (τ=2)</t>
        </is>
      </c>
      <c r="D3" s="4" t="inlineStr">
        <is>
          <t>Y</t>
        </is>
      </c>
      <c r="E3" s="4" t="inlineStr">
        <is>
          <t>CR, моль/л</t>
        </is>
      </c>
      <c r="F3" s="4" t="inlineStr">
        <is>
          <t>ΠR, кмоль/ч</t>
        </is>
      </c>
      <c r="G3" s="4" t="inlineStr">
        <is>
          <t>SR = Y/X</t>
        </is>
      </c>
    </row>
    <row r="4">
      <c r="A4" s="10" t="inlineStr">
        <is>
          <t>случай 1</t>
        </is>
      </c>
      <c r="B4" s="11" t="inlineStr">
        <is>
          <t>РИС-н</t>
        </is>
      </c>
      <c r="C4" s="6" t="n">
        <v>0.4132</v>
      </c>
      <c r="D4" s="6" t="n">
        <v>0.2296</v>
      </c>
      <c r="E4" s="5" t="n">
        <v>6.888</v>
      </c>
      <c r="F4" s="5" t="n">
        <v>20.664</v>
      </c>
      <c r="G4" s="6" t="n">
        <v>0.5556631171345595</v>
      </c>
    </row>
    <row r="5">
      <c r="A5" s="12" t="inlineStr">
        <is>
          <t>случай 1</t>
        </is>
      </c>
      <c r="B5" s="13" t="inlineStr">
        <is>
          <t>РИВ</t>
        </is>
      </c>
      <c r="C5" s="14" t="n">
        <v>0.5455</v>
      </c>
      <c r="D5" s="14" t="n">
        <v>0.3384</v>
      </c>
      <c r="E5" s="15" t="n">
        <v>10.152</v>
      </c>
      <c r="F5" s="15" t="n">
        <v>30.456</v>
      </c>
      <c r="G5" s="14" t="n">
        <v>0.6203483043079743</v>
      </c>
    </row>
    <row r="6">
      <c r="A6" s="10" t="inlineStr">
        <is>
          <t>случай 2</t>
        </is>
      </c>
      <c r="B6" s="11" t="inlineStr">
        <is>
          <t>РИС-н</t>
        </is>
      </c>
      <c r="C6" s="6" t="n">
        <v>0.5454</v>
      </c>
      <c r="D6" s="6" t="n">
        <v>0.303</v>
      </c>
      <c r="E6" s="5" t="n">
        <v>9.09</v>
      </c>
      <c r="F6" s="5" t="n">
        <v>27.27</v>
      </c>
      <c r="G6" s="6" t="n">
        <v>0.5555555555555556</v>
      </c>
    </row>
    <row r="7">
      <c r="A7" s="12" t="inlineStr">
        <is>
          <t>случай 2</t>
        </is>
      </c>
      <c r="B7" s="13" t="inlineStr">
        <is>
          <t>РИВ</t>
        </is>
      </c>
      <c r="C7" s="14" t="n">
        <v>0.6988</v>
      </c>
      <c r="D7" s="14" t="n">
        <v>0.4444</v>
      </c>
      <c r="E7" s="15" t="n">
        <v>13.332</v>
      </c>
      <c r="F7" s="15" t="n">
        <v>39.996</v>
      </c>
      <c r="G7" s="14" t="n">
        <v>0.6359473382942187</v>
      </c>
    </row>
    <row r="8">
      <c r="A8" s="10" t="inlineStr">
        <is>
          <t>случай 3</t>
        </is>
      </c>
      <c r="B8" s="11" t="inlineStr">
        <is>
          <t>РИС-н</t>
        </is>
      </c>
      <c r="C8" s="6" t="n">
        <v>0.5454</v>
      </c>
      <c r="D8" s="6" t="n">
        <v>0.4106</v>
      </c>
      <c r="E8" s="5" t="n">
        <v>12.318</v>
      </c>
      <c r="F8" s="5" t="n">
        <v>36.954</v>
      </c>
      <c r="G8" s="6" t="n">
        <v>0.7528419508617529</v>
      </c>
    </row>
    <row r="9">
      <c r="A9" s="12" t="inlineStr">
        <is>
          <t>случай 3</t>
        </is>
      </c>
      <c r="B9" s="13" t="inlineStr">
        <is>
          <t>РИВ</t>
        </is>
      </c>
      <c r="C9" s="14" t="n">
        <v>0.6988</v>
      </c>
      <c r="D9" s="14" t="n">
        <v>0.5649</v>
      </c>
      <c r="E9" s="15" t="n">
        <v>16.947</v>
      </c>
      <c r="F9" s="15" t="n">
        <v>50.84099999999999</v>
      </c>
      <c r="G9" s="14" t="n">
        <v>0.8083858042358328</v>
      </c>
    </row>
    <row r="11">
      <c r="A11" s="16" t="inlineStr">
        <is>
          <t>Вывод</t>
        </is>
      </c>
    </row>
    <row r="12" ht="90" customHeight="1">
      <c r="A12" s="17" t="inlineStr">
        <is>
          <t>При одинаковых V, v0 и τ = 2 мин во всех трёх случаях РИВ лучше РИС-н: выше степень превращения X, селективность SR и производительность ΠR по целевому продукту R. В РИС-н весь объём работает при низкой выходной CA, поэтому стадия A → R идёт медленнее.
Случай 1 (n1 = 2) наименее выгоден — целевая реакция тормозится по мере расхода A. Случаи 2 и 3 дают одинаковое X (n1 = 1), но случай 3 (n2 = 2) лучший: побочная R → S замедлена, в РИВ ΠR = 50,84 кмоль/ч против 30,46 и 40,00 в случаях 1 и 2.
Вывод: процесс целесообразнее вести в РИВ; из трёх кинетик оптимален случай 3.</t>
        </is>
      </c>
    </row>
    <row r="13"/>
    <row r="14"/>
    <row r="15"/>
    <row r="16"/>
    <row r="17"/>
    <row r="18"/>
  </sheetData>
  <mergeCells count="3">
    <mergeCell ref="A12:G18"/>
    <mergeCell ref="A11:G11"/>
    <mergeCell ref="A1:G1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2026-09-15T16:25:59Z</dcterms:created>
  <dcterms:modified xsi:type="dcterms:W3CDTF">2026-09-15T16:25:59Z</dcterms:modified>
</cp:coreProperties>
</file>